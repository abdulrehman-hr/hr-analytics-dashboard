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iring Data" sheetId="2" state="visible" r:id="rId2"/>
    <sheet xmlns:r="http://schemas.openxmlformats.org/officeDocument/2006/relationships" name="Headcount" sheetId="3" state="visible" r:id="rId3"/>
    <sheet xmlns:r="http://schemas.openxmlformats.org/officeDocument/2006/relationships" name="Funnel" sheetId="4" state="visible" r:id="rId4"/>
    <sheet xmlns:r="http://schemas.openxmlformats.org/officeDocument/2006/relationships" name="Time to Hire" sheetId="5" state="visible" r:id="rId5"/>
    <sheet xmlns:r="http://schemas.openxmlformats.org/officeDocument/2006/relationships" name="Turnover" sheetId="6" state="visible" r:id="rId6"/>
    <sheet xmlns:r="http://schemas.openxmlformats.org/officeDocument/2006/relationships" name="Dashboard" sheetId="7" state="visible" r:id="rId7"/>
  </sheets>
  <definedNames>
    <definedName name="_xlnm._FilterDatabase" localSheetId="1" hidden="1">'Hiring Data'!$A$1:$L$76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%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b val="1"/>
    </font>
    <font>
      <i val="1"/>
      <color rgb="00595959"/>
      <sz val="10"/>
    </font>
    <font>
      <b val="1"/>
      <color rgb="00FFFFFF"/>
      <sz val="11"/>
    </font>
    <font>
      <b val="1"/>
      <color rgb="001F4E79"/>
      <sz val="18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167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167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" fontId="8" fillId="3" borderId="1" applyAlignment="1" pivotButton="0" quotePrefix="0" xfId="0">
      <alignment horizontal="center" vertical="center" wrapText="1"/>
    </xf>
    <xf numFmtId="167" fontId="8" fillId="3" borderId="1" applyAlignment="1" pivotButton="0" quotePrefix="0" xfId="0">
      <alignment horizontal="center" vertical="center" wrapText="1"/>
    </xf>
    <xf numFmtId="166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Hiring Funnel — Candidates by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'Funnel'!B1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'Funnel'!$A$2:$A$6</f>
            </numRef>
          </cat>
          <val>
            <numRef>
              <f>'Funnel'!$B$2:$B$6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Candidates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Time to Hire by Department (days)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 to Hire'!D1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'Time to Hire'!$A$2:$A$6</f>
            </numRef>
          </cat>
          <val>
            <numRef>
              <f>'Time to Hire'!$D$2:$D$6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Turnover % Trend</a:t>
            </a:r>
          </a:p>
        </rich>
      </tx>
    </title>
    <plotArea>
      <lineChart>
        <grouping val="standard"/>
        <ser>
          <idx val="0"/>
          <order val="0"/>
          <tx>
            <strRef>
              <f>'Turnover'!D1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'Turnover'!$A$2:$A$13</f>
            </numRef>
          </cat>
          <val>
            <numRef>
              <f>'Turnover'!$D$2:$D$13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HR Analytics Dashboard</t>
        </is>
      </c>
    </row>
    <row r="2">
      <c r="A2" s="2" t="inlineStr">
        <is>
          <t>Built by Abdul Rehman — Senior HR Executive (1000+ hires)</t>
        </is>
      </c>
    </row>
    <row r="3">
      <c r="A3" s="3" t="inlineStr"/>
    </row>
    <row r="4">
      <c r="A4" s="4" t="inlineStr">
        <is>
          <t>What this workbook does</t>
        </is>
      </c>
    </row>
    <row r="5">
      <c r="A5" s="3" t="inlineStr">
        <is>
          <t>Turns raw hiring and headcount data into the three metrics every HR leader watches:</t>
        </is>
      </c>
    </row>
    <row r="6">
      <c r="A6" s="3" t="inlineStr">
        <is>
          <t>1. Hiring Funnel — where candidates drop off, and which stage leaks the most.</t>
        </is>
      </c>
    </row>
    <row r="7">
      <c r="A7" s="3" t="inlineStr">
        <is>
          <t>2. Time to Hire — how long hiring really takes, by department.</t>
        </is>
      </c>
    </row>
    <row r="8">
      <c r="A8" s="3" t="inlineStr">
        <is>
          <t>3. Turnover — monthly and annualized separation rates, plus tenure risk.</t>
        </is>
      </c>
    </row>
    <row r="9">
      <c r="A9" s="3" t="inlineStr"/>
    </row>
    <row r="10">
      <c r="A10" s="4" t="inlineStr">
        <is>
          <t>How to use it</t>
        </is>
      </c>
    </row>
    <row r="11">
      <c r="A11" s="3" t="inlineStr">
        <is>
          <t>1. Replace the SAMPLE data on the 'Hiring Data' and 'Headcount' sheets with your own.</t>
        </is>
      </c>
    </row>
    <row r="12">
      <c r="A12" s="3" t="inlineStr">
        <is>
          <t xml:space="preserve">   Keep the column order and date format (YYYY-MM-DD). Leave a cell blank when a</t>
        </is>
      </c>
    </row>
    <row r="13">
      <c r="A13" s="3" t="inlineStr">
        <is>
          <t xml:space="preserve">   stage did not happen (e.g. no Offer Date for rejected candidates).</t>
        </is>
      </c>
    </row>
    <row r="14">
      <c r="A14" s="3" t="inlineStr">
        <is>
          <t>2. Everything else recalculates automatically — Funnel, Time to Hire, Turnover,</t>
        </is>
      </c>
    </row>
    <row r="15">
      <c r="A15" s="3" t="inlineStr">
        <is>
          <t xml:space="preserve">   and the Dashboard charts all run on formulas. No macros, no plugins.</t>
        </is>
      </c>
    </row>
    <row r="16">
      <c r="A16" s="3" t="inlineStr">
        <is>
          <t>3. Review the Dashboard sheet for the headline KPIs each month.</t>
        </is>
      </c>
    </row>
    <row r="17">
      <c r="A17" s="3" t="inlineStr"/>
    </row>
    <row r="18">
      <c r="A18" s="4" t="inlineStr">
        <is>
          <t>Sheets</t>
        </is>
      </c>
    </row>
    <row r="19">
      <c r="A19" s="3" t="inlineStr">
        <is>
          <t>Hiring Data   — one row per candidate, all stages and dates (sample: 75 candidates).</t>
        </is>
      </c>
    </row>
    <row r="20">
      <c r="A20" s="3" t="inlineStr">
        <is>
          <t>Headcount     — monthly opening headcount, joiners and leavers by department.</t>
        </is>
      </c>
    </row>
    <row r="21">
      <c r="A21" s="3" t="inlineStr">
        <is>
          <t>Funnel        — stage-by-stage conversion, calculated from Hiring Data.</t>
        </is>
      </c>
    </row>
    <row r="22">
      <c r="A22" s="3" t="inlineStr">
        <is>
          <t>Time to Hire  — average days per hiring phase, by department.</t>
        </is>
      </c>
    </row>
    <row r="23">
      <c r="A23" s="3" t="inlineStr">
        <is>
          <t>Turnover      — monthly turnover %, annualized rate, and tenure mix.</t>
        </is>
      </c>
    </row>
    <row r="24">
      <c r="A24" s="3" t="inlineStr">
        <is>
          <t>Dashboard     — KPI cards plus charts. Print this sheet for leadership reviews.</t>
        </is>
      </c>
    </row>
    <row r="25">
      <c r="A25" s="3" t="inlineStr"/>
    </row>
    <row r="26">
      <c r="A26" s="4" t="inlineStr">
        <is>
          <t>Notes on the sample data</t>
        </is>
      </c>
    </row>
    <row r="27">
      <c r="A27" s="3" t="inlineStr">
        <is>
          <t>The data is fictional and models a ~200-person BPO/consulting company in Pakistan</t>
        </is>
      </c>
    </row>
    <row r="28">
      <c r="A28" s="3" t="inlineStr">
        <is>
          <t>over 12 months (Oct 2025 – Sep 2026). It is realistic on purpose: Customer Support</t>
        </is>
      </c>
    </row>
    <row r="29">
      <c r="A29" s="3" t="inlineStr">
        <is>
          <t>hires fast with higher churn; specialist roles take longer to fill.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5" t="inlineStr">
        <is>
          <t>Candidate ID</t>
        </is>
      </c>
      <c r="B1" s="5" t="inlineStr">
        <is>
          <t>Name</t>
        </is>
      </c>
      <c r="C1" s="5" t="inlineStr">
        <is>
          <t>Role</t>
        </is>
      </c>
      <c r="D1" s="5" t="inlineStr">
        <is>
          <t>Department</t>
        </is>
      </c>
      <c r="E1" s="5" t="inlineStr">
        <is>
          <t>Source</t>
        </is>
      </c>
      <c r="F1" s="5" t="inlineStr">
        <is>
          <t>Applied Date</t>
        </is>
      </c>
      <c r="G1" s="5" t="inlineStr">
        <is>
          <t>Screened Date</t>
        </is>
      </c>
      <c r="H1" s="5" t="inlineStr">
        <is>
          <t>Interview Date</t>
        </is>
      </c>
      <c r="I1" s="5" t="inlineStr">
        <is>
          <t>Offer Date</t>
        </is>
      </c>
      <c r="J1" s="5" t="inlineStr">
        <is>
          <t>Join Date</t>
        </is>
      </c>
      <c r="K1" s="5" t="inlineStr">
        <is>
          <t>Final Status</t>
        </is>
      </c>
      <c r="L1" s="5" t="inlineStr">
        <is>
          <t>Last Stage</t>
        </is>
      </c>
    </row>
    <row r="2">
      <c r="A2" s="6" t="inlineStr">
        <is>
          <t>CAND-0001</t>
        </is>
      </c>
      <c r="B2" s="6" t="inlineStr">
        <is>
          <t>Ahmed Mahmood</t>
        </is>
      </c>
      <c r="C2" s="6" t="inlineStr">
        <is>
          <t>Operations Executive</t>
        </is>
      </c>
      <c r="D2" s="6" t="inlineStr">
        <is>
          <t>Operations</t>
        </is>
      </c>
      <c r="E2" s="6" t="inlineStr">
        <is>
          <t>Rozee</t>
        </is>
      </c>
      <c r="F2" s="7" t="n">
        <v>46087</v>
      </c>
      <c r="G2" s="7" t="n">
        <v>46088</v>
      </c>
      <c r="H2" s="6" t="n"/>
      <c r="I2" s="6" t="n"/>
      <c r="J2" s="6" t="n"/>
      <c r="K2" s="6" t="inlineStr">
        <is>
          <t>Rejected</t>
        </is>
      </c>
      <c r="L2" s="6" t="inlineStr">
        <is>
          <t>Screened</t>
        </is>
      </c>
    </row>
    <row r="3">
      <c r="A3" s="6" t="inlineStr">
        <is>
          <t>CAND-0002</t>
        </is>
      </c>
      <c r="B3" s="6" t="inlineStr">
        <is>
          <t>Zainab Khan</t>
        </is>
      </c>
      <c r="C3" s="6" t="inlineStr">
        <is>
          <t>Team Lead - Support</t>
        </is>
      </c>
      <c r="D3" s="6" t="inlineStr">
        <is>
          <t>Customer Support</t>
        </is>
      </c>
      <c r="E3" s="6" t="inlineStr">
        <is>
          <t>LinkedIn</t>
        </is>
      </c>
      <c r="F3" s="7" t="n">
        <v>46009</v>
      </c>
      <c r="G3" s="7" t="n">
        <v>46014</v>
      </c>
      <c r="H3" s="7" t="n">
        <v>46025</v>
      </c>
      <c r="I3" s="7" t="n">
        <v>46032</v>
      </c>
      <c r="J3" s="7" t="n">
        <v>46052</v>
      </c>
      <c r="K3" s="6" t="inlineStr">
        <is>
          <t>Hired</t>
        </is>
      </c>
      <c r="L3" s="6" t="inlineStr">
        <is>
          <t>Hired</t>
        </is>
      </c>
    </row>
    <row r="4">
      <c r="A4" s="6" t="inlineStr">
        <is>
          <t>CAND-0003</t>
        </is>
      </c>
      <c r="B4" s="6" t="inlineStr">
        <is>
          <t>Shahid Butt</t>
        </is>
      </c>
      <c r="C4" s="6" t="inlineStr">
        <is>
          <t>Senior CSR</t>
        </is>
      </c>
      <c r="D4" s="6" t="inlineStr">
        <is>
          <t>Customer Support</t>
        </is>
      </c>
      <c r="E4" s="6" t="inlineStr">
        <is>
          <t>LinkedIn</t>
        </is>
      </c>
      <c r="F4" s="7" t="n">
        <v>46043</v>
      </c>
      <c r="G4" s="7" t="n">
        <v>46046</v>
      </c>
      <c r="H4" s="7" t="n">
        <v>46052</v>
      </c>
      <c r="I4" s="6" t="n"/>
      <c r="J4" s="6" t="n"/>
      <c r="K4" s="6" t="inlineStr">
        <is>
          <t>Rejected</t>
        </is>
      </c>
      <c r="L4" s="6" t="inlineStr">
        <is>
          <t>Interviewed</t>
        </is>
      </c>
    </row>
    <row r="5">
      <c r="A5" s="6" t="inlineStr">
        <is>
          <t>CAND-0004</t>
        </is>
      </c>
      <c r="B5" s="6" t="inlineStr">
        <is>
          <t>Ayesha Raza</t>
        </is>
      </c>
      <c r="C5" s="6" t="inlineStr">
        <is>
          <t>Senior CSR</t>
        </is>
      </c>
      <c r="D5" s="6" t="inlineStr">
        <is>
          <t>Customer Support</t>
        </is>
      </c>
      <c r="E5" s="6" t="inlineStr">
        <is>
          <t>Rozee</t>
        </is>
      </c>
      <c r="F5" s="7" t="n">
        <v>46271</v>
      </c>
      <c r="G5" s="7" t="n">
        <v>46272</v>
      </c>
      <c r="H5" s="6" t="n"/>
      <c r="I5" s="6" t="n"/>
      <c r="J5" s="6" t="n"/>
      <c r="K5" s="6" t="inlineStr">
        <is>
          <t>Rejected</t>
        </is>
      </c>
      <c r="L5" s="6" t="inlineStr">
        <is>
          <t>Screened</t>
        </is>
      </c>
    </row>
    <row r="6">
      <c r="A6" s="6" t="inlineStr">
        <is>
          <t>CAND-0005</t>
        </is>
      </c>
      <c r="B6" s="6" t="inlineStr">
        <is>
          <t>Rabia Butt</t>
        </is>
      </c>
      <c r="C6" s="6" t="inlineStr">
        <is>
          <t>HR Executive</t>
        </is>
      </c>
      <c r="D6" s="6" t="inlineStr">
        <is>
          <t>Human Resources</t>
        </is>
      </c>
      <c r="E6" s="6" t="inlineStr">
        <is>
          <t>Walk-in</t>
        </is>
      </c>
      <c r="F6" s="7" t="n">
        <v>46147</v>
      </c>
      <c r="G6" s="7" t="n">
        <v>46148</v>
      </c>
      <c r="H6" s="7" t="n">
        <v>46154</v>
      </c>
      <c r="I6" s="6" t="n"/>
      <c r="J6" s="6" t="n"/>
      <c r="K6" s="6" t="inlineStr">
        <is>
          <t>In Process</t>
        </is>
      </c>
      <c r="L6" s="6" t="inlineStr">
        <is>
          <t>Interviewed</t>
        </is>
      </c>
    </row>
    <row r="7">
      <c r="A7" s="6" t="inlineStr">
        <is>
          <t>CAND-0006</t>
        </is>
      </c>
      <c r="B7" s="6" t="inlineStr">
        <is>
          <t>Fahad Butt</t>
        </is>
      </c>
      <c r="C7" s="6" t="inlineStr">
        <is>
          <t>Customer Support Executive</t>
        </is>
      </c>
      <c r="D7" s="6" t="inlineStr">
        <is>
          <t>Customer Support</t>
        </is>
      </c>
      <c r="E7" s="6" t="inlineStr">
        <is>
          <t>Referral</t>
        </is>
      </c>
      <c r="F7" s="7" t="n">
        <v>46148</v>
      </c>
      <c r="G7" s="7" t="n">
        <v>46151</v>
      </c>
      <c r="H7" s="7" t="n">
        <v>46158</v>
      </c>
      <c r="I7" s="6" t="n"/>
      <c r="J7" s="6" t="n"/>
      <c r="K7" s="6" t="inlineStr">
        <is>
          <t>Rejected</t>
        </is>
      </c>
      <c r="L7" s="6" t="inlineStr">
        <is>
          <t>Interviewed</t>
        </is>
      </c>
    </row>
    <row r="8">
      <c r="A8" s="6" t="inlineStr">
        <is>
          <t>CAND-0007</t>
        </is>
      </c>
      <c r="B8" s="6" t="inlineStr">
        <is>
          <t>Tariq Malik</t>
        </is>
      </c>
      <c r="C8" s="6" t="inlineStr">
        <is>
          <t>Team Lead - Support</t>
        </is>
      </c>
      <c r="D8" s="6" t="inlineStr">
        <is>
          <t>Customer Support</t>
        </is>
      </c>
      <c r="E8" s="6" t="inlineStr">
        <is>
          <t>Walk-in</t>
        </is>
      </c>
      <c r="F8" s="7" t="n">
        <v>46087</v>
      </c>
      <c r="G8" s="7" t="n">
        <v>46091</v>
      </c>
      <c r="H8" s="7" t="n">
        <v>46102</v>
      </c>
      <c r="I8" s="7" t="n">
        <v>46106</v>
      </c>
      <c r="J8" s="6" t="n"/>
      <c r="K8" s="6" t="inlineStr">
        <is>
          <t>Withdrawn</t>
        </is>
      </c>
      <c r="L8" s="6" t="inlineStr">
        <is>
          <t>Offered</t>
        </is>
      </c>
    </row>
    <row r="9">
      <c r="A9" s="6" t="inlineStr">
        <is>
          <t>CAND-0008</t>
        </is>
      </c>
      <c r="B9" s="6" t="inlineStr">
        <is>
          <t>Mahnoor Javed</t>
        </is>
      </c>
      <c r="C9" s="6" t="inlineStr">
        <is>
          <t>Operations Executive</t>
        </is>
      </c>
      <c r="D9" s="6" t="inlineStr">
        <is>
          <t>Operations</t>
        </is>
      </c>
      <c r="E9" s="6" t="inlineStr">
        <is>
          <t>LinkedIn</t>
        </is>
      </c>
      <c r="F9" s="7" t="n">
        <v>46123</v>
      </c>
      <c r="G9" s="7" t="n">
        <v>46124</v>
      </c>
      <c r="H9" s="7" t="n">
        <v>46136</v>
      </c>
      <c r="I9" s="6" t="n"/>
      <c r="J9" s="6" t="n"/>
      <c r="K9" s="6" t="inlineStr">
        <is>
          <t>Rejected</t>
        </is>
      </c>
      <c r="L9" s="6" t="inlineStr">
        <is>
          <t>Interviewed</t>
        </is>
      </c>
    </row>
    <row r="10">
      <c r="A10" s="6" t="inlineStr">
        <is>
          <t>CAND-0009</t>
        </is>
      </c>
      <c r="B10" s="6" t="inlineStr">
        <is>
          <t>Fahad Nawaz</t>
        </is>
      </c>
      <c r="C10" s="6" t="inlineStr">
        <is>
          <t>Quality Analyst</t>
        </is>
      </c>
      <c r="D10" s="6" t="inlineStr">
        <is>
          <t>Operations</t>
        </is>
      </c>
      <c r="E10" s="6" t="inlineStr">
        <is>
          <t>Referral</t>
        </is>
      </c>
      <c r="F10" s="7" t="n">
        <v>46035</v>
      </c>
      <c r="G10" s="7" t="n">
        <v>46037</v>
      </c>
      <c r="H10" s="6" t="n"/>
      <c r="I10" s="6" t="n"/>
      <c r="J10" s="6" t="n"/>
      <c r="K10" s="6" t="inlineStr">
        <is>
          <t>Rejected</t>
        </is>
      </c>
      <c r="L10" s="6" t="inlineStr">
        <is>
          <t>Screened</t>
        </is>
      </c>
    </row>
    <row r="11">
      <c r="A11" s="6" t="inlineStr">
        <is>
          <t>CAND-0010</t>
        </is>
      </c>
      <c r="B11" s="6" t="inlineStr">
        <is>
          <t>Shahid Hussain</t>
        </is>
      </c>
      <c r="C11" s="6" t="inlineStr">
        <is>
          <t>Quality Analyst</t>
        </is>
      </c>
      <c r="D11" s="6" t="inlineStr">
        <is>
          <t>Operations</t>
        </is>
      </c>
      <c r="E11" s="6" t="inlineStr">
        <is>
          <t>Rozee</t>
        </is>
      </c>
      <c r="F11" s="7" t="n">
        <v>46074</v>
      </c>
      <c r="G11" s="6" t="n"/>
      <c r="H11" s="6" t="n"/>
      <c r="I11" s="6" t="n"/>
      <c r="J11" s="6" t="n"/>
      <c r="K11" s="6" t="inlineStr">
        <is>
          <t>Rejected</t>
        </is>
      </c>
      <c r="L11" s="6" t="inlineStr">
        <is>
          <t>Applied</t>
        </is>
      </c>
    </row>
    <row r="12">
      <c r="A12" s="6" t="inlineStr">
        <is>
          <t>CAND-0011</t>
        </is>
      </c>
      <c r="B12" s="6" t="inlineStr">
        <is>
          <t>Fatima Javed</t>
        </is>
      </c>
      <c r="C12" s="6" t="inlineStr">
        <is>
          <t>Software Engineer</t>
        </is>
      </c>
      <c r="D12" s="6" t="inlineStr">
        <is>
          <t>Information Technology</t>
        </is>
      </c>
      <c r="E12" s="6" t="inlineStr">
        <is>
          <t>LinkedIn</t>
        </is>
      </c>
      <c r="F12" s="7" t="n">
        <v>46040</v>
      </c>
      <c r="G12" s="7" t="n">
        <v>46044</v>
      </c>
      <c r="H12" s="7" t="n">
        <v>46053</v>
      </c>
      <c r="I12" s="7" t="n">
        <v>46058</v>
      </c>
      <c r="J12" s="7" t="n">
        <v>46082</v>
      </c>
      <c r="K12" s="6" t="inlineStr">
        <is>
          <t>Hired</t>
        </is>
      </c>
      <c r="L12" s="6" t="inlineStr">
        <is>
          <t>Hired</t>
        </is>
      </c>
    </row>
    <row r="13">
      <c r="A13" s="6" t="inlineStr">
        <is>
          <t>CAND-0012</t>
        </is>
      </c>
      <c r="B13" s="6" t="inlineStr">
        <is>
          <t>Kiran Ahmed</t>
        </is>
      </c>
      <c r="C13" s="6" t="inlineStr">
        <is>
          <t>Team Lead - Support</t>
        </is>
      </c>
      <c r="D13" s="6" t="inlineStr">
        <is>
          <t>Customer Support</t>
        </is>
      </c>
      <c r="E13" s="6" t="inlineStr">
        <is>
          <t>Walk-in</t>
        </is>
      </c>
      <c r="F13" s="7" t="n">
        <v>46098</v>
      </c>
      <c r="G13" s="7" t="n">
        <v>46101</v>
      </c>
      <c r="H13" s="7" t="n">
        <v>46110</v>
      </c>
      <c r="I13" s="7" t="n">
        <v>46112</v>
      </c>
      <c r="J13" s="6" t="n"/>
      <c r="K13" s="6" t="inlineStr">
        <is>
          <t>Withdrawn</t>
        </is>
      </c>
      <c r="L13" s="6" t="inlineStr">
        <is>
          <t>Offered</t>
        </is>
      </c>
    </row>
    <row r="14">
      <c r="A14" s="6" t="inlineStr">
        <is>
          <t>CAND-0013</t>
        </is>
      </c>
      <c r="B14" s="6" t="inlineStr">
        <is>
          <t>Kamran Akhtar</t>
        </is>
      </c>
      <c r="C14" s="6" t="inlineStr">
        <is>
          <t>Quality Analyst</t>
        </is>
      </c>
      <c r="D14" s="6" t="inlineStr">
        <is>
          <t>Operations</t>
        </is>
      </c>
      <c r="E14" s="6" t="inlineStr">
        <is>
          <t>Indeed</t>
        </is>
      </c>
      <c r="F14" s="7" t="n">
        <v>46221</v>
      </c>
      <c r="G14" s="6" t="n"/>
      <c r="H14" s="6" t="n"/>
      <c r="I14" s="6" t="n"/>
      <c r="J14" s="6" t="n"/>
      <c r="K14" s="6" t="inlineStr">
        <is>
          <t>Rejected</t>
        </is>
      </c>
      <c r="L14" s="6" t="inlineStr">
        <is>
          <t>Applied</t>
        </is>
      </c>
    </row>
    <row r="15">
      <c r="A15" s="6" t="inlineStr">
        <is>
          <t>CAND-0014</t>
        </is>
      </c>
      <c r="B15" s="6" t="inlineStr">
        <is>
          <t>Kamran Qureshi</t>
        </is>
      </c>
      <c r="C15" s="6" t="inlineStr">
        <is>
          <t>Team Lead - Support</t>
        </is>
      </c>
      <c r="D15" s="6" t="inlineStr">
        <is>
          <t>Customer Support</t>
        </is>
      </c>
      <c r="E15" s="6" t="inlineStr">
        <is>
          <t>Indeed</t>
        </is>
      </c>
      <c r="F15" s="7" t="n">
        <v>46040</v>
      </c>
      <c r="G15" s="7" t="n">
        <v>46042</v>
      </c>
      <c r="H15" s="7" t="n">
        <v>46053</v>
      </c>
      <c r="I15" s="6" t="n"/>
      <c r="J15" s="6" t="n"/>
      <c r="K15" s="6" t="inlineStr">
        <is>
          <t>Rejected</t>
        </is>
      </c>
      <c r="L15" s="6" t="inlineStr">
        <is>
          <t>Interviewed</t>
        </is>
      </c>
    </row>
    <row r="16">
      <c r="A16" s="6" t="inlineStr">
        <is>
          <t>CAND-0015</t>
        </is>
      </c>
      <c r="B16" s="6" t="inlineStr">
        <is>
          <t>Ayesha Nawaz</t>
        </is>
      </c>
      <c r="C16" s="6" t="inlineStr">
        <is>
          <t>Software Engineer</t>
        </is>
      </c>
      <c r="D16" s="6" t="inlineStr">
        <is>
          <t>Information Technology</t>
        </is>
      </c>
      <c r="E16" s="6" t="inlineStr">
        <is>
          <t>Rozee</t>
        </is>
      </c>
      <c r="F16" s="7" t="n">
        <v>46119</v>
      </c>
      <c r="G16" s="7" t="n">
        <v>46121</v>
      </c>
      <c r="H16" s="6" t="n"/>
      <c r="I16" s="6" t="n"/>
      <c r="J16" s="6" t="n"/>
      <c r="K16" s="6" t="inlineStr">
        <is>
          <t>In Process</t>
        </is>
      </c>
      <c r="L16" s="6" t="inlineStr">
        <is>
          <t>Screened</t>
        </is>
      </c>
    </row>
    <row r="17">
      <c r="A17" s="6" t="inlineStr">
        <is>
          <t>CAND-0016</t>
        </is>
      </c>
      <c r="B17" s="6" t="inlineStr">
        <is>
          <t>Sadia Javed</t>
        </is>
      </c>
      <c r="C17" s="6" t="inlineStr">
        <is>
          <t>Team Lead - Support</t>
        </is>
      </c>
      <c r="D17" s="6" t="inlineStr">
        <is>
          <t>Customer Support</t>
        </is>
      </c>
      <c r="E17" s="6" t="inlineStr">
        <is>
          <t>LinkedIn</t>
        </is>
      </c>
      <c r="F17" s="7" t="n">
        <v>46234</v>
      </c>
      <c r="G17" s="7" t="n">
        <v>46236</v>
      </c>
      <c r="H17" s="6" t="n"/>
      <c r="I17" s="6" t="n"/>
      <c r="J17" s="6" t="n"/>
      <c r="K17" s="6" t="inlineStr">
        <is>
          <t>In Process</t>
        </is>
      </c>
      <c r="L17" s="6" t="inlineStr">
        <is>
          <t>Screened</t>
        </is>
      </c>
    </row>
    <row r="18">
      <c r="A18" s="6" t="inlineStr">
        <is>
          <t>CAND-0017</t>
        </is>
      </c>
      <c r="B18" s="6" t="inlineStr">
        <is>
          <t>Kamran Javed</t>
        </is>
      </c>
      <c r="C18" s="6" t="inlineStr">
        <is>
          <t>Senior CSR</t>
        </is>
      </c>
      <c r="D18" s="6" t="inlineStr">
        <is>
          <t>Customer Support</t>
        </is>
      </c>
      <c r="E18" s="6" t="inlineStr">
        <is>
          <t>Walk-in</t>
        </is>
      </c>
      <c r="F18" s="7" t="n">
        <v>46178</v>
      </c>
      <c r="G18" s="6" t="n"/>
      <c r="H18" s="6" t="n"/>
      <c r="I18" s="6" t="n"/>
      <c r="J18" s="6" t="n"/>
      <c r="K18" s="6" t="inlineStr">
        <is>
          <t>In Process</t>
        </is>
      </c>
      <c r="L18" s="6" t="inlineStr">
        <is>
          <t>Applied</t>
        </is>
      </c>
    </row>
    <row r="19">
      <c r="A19" s="6" t="inlineStr">
        <is>
          <t>CAND-0018</t>
        </is>
      </c>
      <c r="B19" s="6" t="inlineStr">
        <is>
          <t>Nabeel Butt</t>
        </is>
      </c>
      <c r="C19" s="6" t="inlineStr">
        <is>
          <t>Operations Executive</t>
        </is>
      </c>
      <c r="D19" s="6" t="inlineStr">
        <is>
          <t>Operations</t>
        </is>
      </c>
      <c r="E19" s="6" t="inlineStr">
        <is>
          <t>Referral</t>
        </is>
      </c>
      <c r="F19" s="7" t="n">
        <v>46153</v>
      </c>
      <c r="G19" s="7" t="n">
        <v>46158</v>
      </c>
      <c r="H19" s="7" t="n">
        <v>46164</v>
      </c>
      <c r="I19" s="7" t="n">
        <v>46168</v>
      </c>
      <c r="J19" s="7" t="n">
        <v>46192</v>
      </c>
      <c r="K19" s="6" t="inlineStr">
        <is>
          <t>Hired</t>
        </is>
      </c>
      <c r="L19" s="6" t="inlineStr">
        <is>
          <t>Hired</t>
        </is>
      </c>
    </row>
    <row r="20">
      <c r="A20" s="6" t="inlineStr">
        <is>
          <t>CAND-0019</t>
        </is>
      </c>
      <c r="B20" s="6" t="inlineStr">
        <is>
          <t>Mahnoor Khan</t>
        </is>
      </c>
      <c r="C20" s="6" t="inlineStr">
        <is>
          <t>Team Lead - Support</t>
        </is>
      </c>
      <c r="D20" s="6" t="inlineStr">
        <is>
          <t>Customer Support</t>
        </is>
      </c>
      <c r="E20" s="6" t="inlineStr">
        <is>
          <t>LinkedIn</t>
        </is>
      </c>
      <c r="F20" s="7" t="n">
        <v>45992</v>
      </c>
      <c r="G20" s="7" t="n">
        <v>45993</v>
      </c>
      <c r="H20" s="6" t="n"/>
      <c r="I20" s="6" t="n"/>
      <c r="J20" s="6" t="n"/>
      <c r="K20" s="6" t="inlineStr">
        <is>
          <t>Rejected</t>
        </is>
      </c>
      <c r="L20" s="6" t="inlineStr">
        <is>
          <t>Screened</t>
        </is>
      </c>
    </row>
    <row r="21">
      <c r="A21" s="6" t="inlineStr">
        <is>
          <t>CAND-0020</t>
        </is>
      </c>
      <c r="B21" s="6" t="inlineStr">
        <is>
          <t>Asma Farooq</t>
        </is>
      </c>
      <c r="C21" s="6" t="inlineStr">
        <is>
          <t>Senior CSR</t>
        </is>
      </c>
      <c r="D21" s="6" t="inlineStr">
        <is>
          <t>Customer Support</t>
        </is>
      </c>
      <c r="E21" s="6" t="inlineStr">
        <is>
          <t>Indeed</t>
        </is>
      </c>
      <c r="F21" s="7" t="n">
        <v>46238</v>
      </c>
      <c r="G21" s="7" t="n">
        <v>46243</v>
      </c>
      <c r="H21" s="7" t="n">
        <v>46249</v>
      </c>
      <c r="I21" s="6" t="n"/>
      <c r="J21" s="6" t="n"/>
      <c r="K21" s="6" t="inlineStr">
        <is>
          <t>Rejected</t>
        </is>
      </c>
      <c r="L21" s="6" t="inlineStr">
        <is>
          <t>Interviewed</t>
        </is>
      </c>
    </row>
    <row r="22">
      <c r="A22" s="6" t="inlineStr">
        <is>
          <t>CAND-0021</t>
        </is>
      </c>
      <c r="B22" s="6" t="inlineStr">
        <is>
          <t>Ayesha Sheikh</t>
        </is>
      </c>
      <c r="C22" s="6" t="inlineStr">
        <is>
          <t>Customer Support Executive</t>
        </is>
      </c>
      <c r="D22" s="6" t="inlineStr">
        <is>
          <t>Customer Support</t>
        </is>
      </c>
      <c r="E22" s="6" t="inlineStr">
        <is>
          <t>Referral</t>
        </is>
      </c>
      <c r="F22" s="7" t="n">
        <v>46143</v>
      </c>
      <c r="G22" s="7" t="n">
        <v>46147</v>
      </c>
      <c r="H22" s="6" t="n"/>
      <c r="I22" s="6" t="n"/>
      <c r="J22" s="6" t="n"/>
      <c r="K22" s="6" t="inlineStr">
        <is>
          <t>Rejected</t>
        </is>
      </c>
      <c r="L22" s="6" t="inlineStr">
        <is>
          <t>Screened</t>
        </is>
      </c>
    </row>
    <row r="23">
      <c r="A23" s="6" t="inlineStr">
        <is>
          <t>CAND-0022</t>
        </is>
      </c>
      <c r="B23" s="6" t="inlineStr">
        <is>
          <t>Fatima Hussain</t>
        </is>
      </c>
      <c r="C23" s="6" t="inlineStr">
        <is>
          <t>Operations Executive</t>
        </is>
      </c>
      <c r="D23" s="6" t="inlineStr">
        <is>
          <t>Operations</t>
        </is>
      </c>
      <c r="E23" s="6" t="inlineStr">
        <is>
          <t>Rozee</t>
        </is>
      </c>
      <c r="F23" s="7" t="n">
        <v>46017</v>
      </c>
      <c r="G23" s="7" t="n">
        <v>46019</v>
      </c>
      <c r="H23" s="7" t="n">
        <v>46024</v>
      </c>
      <c r="I23" s="7" t="n">
        <v>46028</v>
      </c>
      <c r="J23" s="7" t="n">
        <v>46037</v>
      </c>
      <c r="K23" s="6" t="inlineStr">
        <is>
          <t>Hired</t>
        </is>
      </c>
      <c r="L23" s="6" t="inlineStr">
        <is>
          <t>Hired</t>
        </is>
      </c>
    </row>
    <row r="24">
      <c r="A24" s="6" t="inlineStr">
        <is>
          <t>CAND-0023</t>
        </is>
      </c>
      <c r="B24" s="6" t="inlineStr">
        <is>
          <t>Fatima Sheikh</t>
        </is>
      </c>
      <c r="C24" s="6" t="inlineStr">
        <is>
          <t>Software Engineer</t>
        </is>
      </c>
      <c r="D24" s="6" t="inlineStr">
        <is>
          <t>Information Technology</t>
        </is>
      </c>
      <c r="E24" s="6" t="inlineStr">
        <is>
          <t>Walk-in</t>
        </is>
      </c>
      <c r="F24" s="7" t="n">
        <v>45969</v>
      </c>
      <c r="G24" s="6" t="n"/>
      <c r="H24" s="6" t="n"/>
      <c r="I24" s="6" t="n"/>
      <c r="J24" s="6" t="n"/>
      <c r="K24" s="6" t="inlineStr">
        <is>
          <t>In Process</t>
        </is>
      </c>
      <c r="L24" s="6" t="inlineStr">
        <is>
          <t>Applied</t>
        </is>
      </c>
    </row>
    <row r="25">
      <c r="A25" s="6" t="inlineStr">
        <is>
          <t>CAND-0024</t>
        </is>
      </c>
      <c r="B25" s="6" t="inlineStr">
        <is>
          <t>Zainab Farooq</t>
        </is>
      </c>
      <c r="C25" s="6" t="inlineStr">
        <is>
          <t>Customer Support Executive</t>
        </is>
      </c>
      <c r="D25" s="6" t="inlineStr">
        <is>
          <t>Customer Support</t>
        </is>
      </c>
      <c r="E25" s="6" t="inlineStr">
        <is>
          <t>Referral</t>
        </is>
      </c>
      <c r="F25" s="7" t="n">
        <v>46071</v>
      </c>
      <c r="G25" s="6" t="n"/>
      <c r="H25" s="6" t="n"/>
      <c r="I25" s="6" t="n"/>
      <c r="J25" s="6" t="n"/>
      <c r="K25" s="6" t="inlineStr">
        <is>
          <t>Rejected</t>
        </is>
      </c>
      <c r="L25" s="6" t="inlineStr">
        <is>
          <t>Applied</t>
        </is>
      </c>
    </row>
    <row r="26">
      <c r="A26" s="6" t="inlineStr">
        <is>
          <t>CAND-0025</t>
        </is>
      </c>
      <c r="B26" s="6" t="inlineStr">
        <is>
          <t>Ahmed Hussain</t>
        </is>
      </c>
      <c r="C26" s="6" t="inlineStr">
        <is>
          <t>Senior CSR</t>
        </is>
      </c>
      <c r="D26" s="6" t="inlineStr">
        <is>
          <t>Customer Support</t>
        </is>
      </c>
      <c r="E26" s="6" t="inlineStr">
        <is>
          <t>Rozee</t>
        </is>
      </c>
      <c r="F26" s="7" t="n">
        <v>46194</v>
      </c>
      <c r="G26" s="7" t="n">
        <v>46199</v>
      </c>
      <c r="H26" s="6" t="n"/>
      <c r="I26" s="6" t="n"/>
      <c r="J26" s="6" t="n"/>
      <c r="K26" s="6" t="inlineStr">
        <is>
          <t>Rejected</t>
        </is>
      </c>
      <c r="L26" s="6" t="inlineStr">
        <is>
          <t>Screened</t>
        </is>
      </c>
    </row>
    <row r="27">
      <c r="A27" s="6" t="inlineStr">
        <is>
          <t>CAND-0026</t>
        </is>
      </c>
      <c r="B27" s="6" t="inlineStr">
        <is>
          <t>Ali Khan</t>
        </is>
      </c>
      <c r="C27" s="6" t="inlineStr">
        <is>
          <t>Senior CSR</t>
        </is>
      </c>
      <c r="D27" s="6" t="inlineStr">
        <is>
          <t>Customer Support</t>
        </is>
      </c>
      <c r="E27" s="6" t="inlineStr">
        <is>
          <t>Walk-in</t>
        </is>
      </c>
      <c r="F27" s="7" t="n">
        <v>46239</v>
      </c>
      <c r="G27" s="7" t="n">
        <v>46242</v>
      </c>
      <c r="H27" s="7" t="n">
        <v>46254</v>
      </c>
      <c r="I27" s="7" t="n">
        <v>46262</v>
      </c>
      <c r="J27" s="7" t="n">
        <v>46270</v>
      </c>
      <c r="K27" s="6" t="inlineStr">
        <is>
          <t>Hired</t>
        </is>
      </c>
      <c r="L27" s="6" t="inlineStr">
        <is>
          <t>Hired</t>
        </is>
      </c>
    </row>
    <row r="28">
      <c r="A28" s="6" t="inlineStr">
        <is>
          <t>CAND-0027</t>
        </is>
      </c>
      <c r="B28" s="6" t="inlineStr">
        <is>
          <t>Sana Ahmed</t>
        </is>
      </c>
      <c r="C28" s="6" t="inlineStr">
        <is>
          <t>Software Engineer</t>
        </is>
      </c>
      <c r="D28" s="6" t="inlineStr">
        <is>
          <t>Information Technology</t>
        </is>
      </c>
      <c r="E28" s="6" t="inlineStr">
        <is>
          <t>Walk-in</t>
        </is>
      </c>
      <c r="F28" s="7" t="n">
        <v>45996</v>
      </c>
      <c r="G28" s="7" t="n">
        <v>45998</v>
      </c>
      <c r="H28" s="7" t="n">
        <v>46010</v>
      </c>
      <c r="I28" s="7" t="n">
        <v>46016</v>
      </c>
      <c r="J28" s="7" t="n">
        <v>46025</v>
      </c>
      <c r="K28" s="6" t="inlineStr">
        <is>
          <t>Hired</t>
        </is>
      </c>
      <c r="L28" s="6" t="inlineStr">
        <is>
          <t>Hired</t>
        </is>
      </c>
    </row>
    <row r="29">
      <c r="A29" s="6" t="inlineStr">
        <is>
          <t>CAND-0028</t>
        </is>
      </c>
      <c r="B29" s="6" t="inlineStr">
        <is>
          <t>Hamza Shah</t>
        </is>
      </c>
      <c r="C29" s="6" t="inlineStr">
        <is>
          <t>IT Support Officer</t>
        </is>
      </c>
      <c r="D29" s="6" t="inlineStr">
        <is>
          <t>Information Technology</t>
        </is>
      </c>
      <c r="E29" s="6" t="inlineStr">
        <is>
          <t>Rozee</t>
        </is>
      </c>
      <c r="F29" s="7" t="n">
        <v>46084</v>
      </c>
      <c r="G29" s="7" t="n">
        <v>46086</v>
      </c>
      <c r="H29" s="6" t="n"/>
      <c r="I29" s="6" t="n"/>
      <c r="J29" s="6" t="n"/>
      <c r="K29" s="6" t="inlineStr">
        <is>
          <t>Rejected</t>
        </is>
      </c>
      <c r="L29" s="6" t="inlineStr">
        <is>
          <t>Screened</t>
        </is>
      </c>
    </row>
    <row r="30">
      <c r="A30" s="6" t="inlineStr">
        <is>
          <t>CAND-0029</t>
        </is>
      </c>
      <c r="B30" s="6" t="inlineStr">
        <is>
          <t>Ahmed Farooq</t>
        </is>
      </c>
      <c r="C30" s="6" t="inlineStr">
        <is>
          <t>Customer Support Executive</t>
        </is>
      </c>
      <c r="D30" s="6" t="inlineStr">
        <is>
          <t>Customer Support</t>
        </is>
      </c>
      <c r="E30" s="6" t="inlineStr">
        <is>
          <t>Walk-in</t>
        </is>
      </c>
      <c r="F30" s="7" t="n">
        <v>46250</v>
      </c>
      <c r="G30" s="6" t="n"/>
      <c r="H30" s="6" t="n"/>
      <c r="I30" s="6" t="n"/>
      <c r="J30" s="6" t="n"/>
      <c r="K30" s="6" t="inlineStr">
        <is>
          <t>Rejected</t>
        </is>
      </c>
      <c r="L30" s="6" t="inlineStr">
        <is>
          <t>Applied</t>
        </is>
      </c>
    </row>
    <row r="31">
      <c r="A31" s="6" t="inlineStr">
        <is>
          <t>CAND-0030</t>
        </is>
      </c>
      <c r="B31" s="6" t="inlineStr">
        <is>
          <t>Hamza Malik</t>
        </is>
      </c>
      <c r="C31" s="6" t="inlineStr">
        <is>
          <t>Team Lead - Support</t>
        </is>
      </c>
      <c r="D31" s="6" t="inlineStr">
        <is>
          <t>Customer Support</t>
        </is>
      </c>
      <c r="E31" s="6" t="inlineStr">
        <is>
          <t>Rozee</t>
        </is>
      </c>
      <c r="F31" s="7" t="n">
        <v>45997</v>
      </c>
      <c r="G31" s="6" t="n"/>
      <c r="H31" s="6" t="n"/>
      <c r="I31" s="6" t="n"/>
      <c r="J31" s="6" t="n"/>
      <c r="K31" s="6" t="inlineStr">
        <is>
          <t>Rejected</t>
        </is>
      </c>
      <c r="L31" s="6" t="inlineStr">
        <is>
          <t>Applied</t>
        </is>
      </c>
    </row>
    <row r="32">
      <c r="A32" s="6" t="inlineStr">
        <is>
          <t>CAND-0031</t>
        </is>
      </c>
      <c r="B32" s="6" t="inlineStr">
        <is>
          <t>Rabia Mahmood</t>
        </is>
      </c>
      <c r="C32" s="6" t="inlineStr">
        <is>
          <t>Senior CSR</t>
        </is>
      </c>
      <c r="D32" s="6" t="inlineStr">
        <is>
          <t>Customer Support</t>
        </is>
      </c>
      <c r="E32" s="6" t="inlineStr">
        <is>
          <t>Rozee</t>
        </is>
      </c>
      <c r="F32" s="7" t="n">
        <v>46275</v>
      </c>
      <c r="G32" s="6" t="n"/>
      <c r="H32" s="6" t="n"/>
      <c r="I32" s="6" t="n"/>
      <c r="J32" s="6" t="n"/>
      <c r="K32" s="6" t="inlineStr">
        <is>
          <t>Rejected</t>
        </is>
      </c>
      <c r="L32" s="6" t="inlineStr">
        <is>
          <t>Applied</t>
        </is>
      </c>
    </row>
    <row r="33">
      <c r="A33" s="6" t="inlineStr">
        <is>
          <t>CAND-0032</t>
        </is>
      </c>
      <c r="B33" s="6" t="inlineStr">
        <is>
          <t>Asma Javed</t>
        </is>
      </c>
      <c r="C33" s="6" t="inlineStr">
        <is>
          <t>Software Engineer</t>
        </is>
      </c>
      <c r="D33" s="6" t="inlineStr">
        <is>
          <t>Information Technology</t>
        </is>
      </c>
      <c r="E33" s="6" t="inlineStr">
        <is>
          <t>Walk-in</t>
        </is>
      </c>
      <c r="F33" s="7" t="n">
        <v>46115</v>
      </c>
      <c r="G33" s="6" t="n"/>
      <c r="H33" s="6" t="n"/>
      <c r="I33" s="6" t="n"/>
      <c r="J33" s="6" t="n"/>
      <c r="K33" s="6" t="inlineStr">
        <is>
          <t>Rejected</t>
        </is>
      </c>
      <c r="L33" s="6" t="inlineStr">
        <is>
          <t>Applied</t>
        </is>
      </c>
    </row>
    <row r="34">
      <c r="A34" s="6" t="inlineStr">
        <is>
          <t>CAND-0033</t>
        </is>
      </c>
      <c r="B34" s="6" t="inlineStr">
        <is>
          <t>Ayesha Nawaz</t>
        </is>
      </c>
      <c r="C34" s="6" t="inlineStr">
        <is>
          <t>Senior CSR</t>
        </is>
      </c>
      <c r="D34" s="6" t="inlineStr">
        <is>
          <t>Customer Support</t>
        </is>
      </c>
      <c r="E34" s="6" t="inlineStr">
        <is>
          <t>LinkedIn</t>
        </is>
      </c>
      <c r="F34" s="7" t="n">
        <v>46245</v>
      </c>
      <c r="G34" s="7" t="n">
        <v>46248</v>
      </c>
      <c r="H34" s="7" t="n">
        <v>46256</v>
      </c>
      <c r="I34" s="7" t="n">
        <v>46263</v>
      </c>
      <c r="J34" s="6" t="n"/>
      <c r="K34" s="6" t="inlineStr">
        <is>
          <t>Withdrawn</t>
        </is>
      </c>
      <c r="L34" s="6" t="inlineStr">
        <is>
          <t>Offered</t>
        </is>
      </c>
    </row>
    <row r="35">
      <c r="A35" s="6" t="inlineStr">
        <is>
          <t>CAND-0034</t>
        </is>
      </c>
      <c r="B35" s="6" t="inlineStr">
        <is>
          <t>Hamza Nawaz</t>
        </is>
      </c>
      <c r="C35" s="6" t="inlineStr">
        <is>
          <t>IT Support Officer</t>
        </is>
      </c>
      <c r="D35" s="6" t="inlineStr">
        <is>
          <t>Information Technology</t>
        </is>
      </c>
      <c r="E35" s="6" t="inlineStr">
        <is>
          <t>LinkedIn</t>
        </is>
      </c>
      <c r="F35" s="7" t="n">
        <v>46009</v>
      </c>
      <c r="G35" s="7" t="n">
        <v>46012</v>
      </c>
      <c r="H35" s="7" t="n">
        <v>46020</v>
      </c>
      <c r="I35" s="6" t="n"/>
      <c r="J35" s="6" t="n"/>
      <c r="K35" s="6" t="inlineStr">
        <is>
          <t>Rejected</t>
        </is>
      </c>
      <c r="L35" s="6" t="inlineStr">
        <is>
          <t>Interviewed</t>
        </is>
      </c>
    </row>
    <row r="36">
      <c r="A36" s="6" t="inlineStr">
        <is>
          <t>CAND-0035</t>
        </is>
      </c>
      <c r="B36" s="6" t="inlineStr">
        <is>
          <t>Kiran Farooq</t>
        </is>
      </c>
      <c r="C36" s="6" t="inlineStr">
        <is>
          <t>Customer Support Executive</t>
        </is>
      </c>
      <c r="D36" s="6" t="inlineStr">
        <is>
          <t>Customer Support</t>
        </is>
      </c>
      <c r="E36" s="6" t="inlineStr">
        <is>
          <t>Walk-in</t>
        </is>
      </c>
      <c r="F36" s="7" t="n">
        <v>46180</v>
      </c>
      <c r="G36" s="7" t="n">
        <v>46181</v>
      </c>
      <c r="H36" s="7" t="n">
        <v>46186</v>
      </c>
      <c r="I36" s="7" t="n">
        <v>46194</v>
      </c>
      <c r="J36" s="7" t="n">
        <v>46218</v>
      </c>
      <c r="K36" s="6" t="inlineStr">
        <is>
          <t>Hired</t>
        </is>
      </c>
      <c r="L36" s="6" t="inlineStr">
        <is>
          <t>Hired</t>
        </is>
      </c>
    </row>
    <row r="37">
      <c r="A37" s="6" t="inlineStr">
        <is>
          <t>CAND-0036</t>
        </is>
      </c>
      <c r="B37" s="6" t="inlineStr">
        <is>
          <t>Usman Khan</t>
        </is>
      </c>
      <c r="C37" s="6" t="inlineStr">
        <is>
          <t>Senior CSR</t>
        </is>
      </c>
      <c r="D37" s="6" t="inlineStr">
        <is>
          <t>Customer Support</t>
        </is>
      </c>
      <c r="E37" s="6" t="inlineStr">
        <is>
          <t>Rozee</t>
        </is>
      </c>
      <c r="F37" s="7" t="n">
        <v>46148</v>
      </c>
      <c r="G37" s="6" t="n"/>
      <c r="H37" s="6" t="n"/>
      <c r="I37" s="6" t="n"/>
      <c r="J37" s="6" t="n"/>
      <c r="K37" s="6" t="inlineStr">
        <is>
          <t>Rejected</t>
        </is>
      </c>
      <c r="L37" s="6" t="inlineStr">
        <is>
          <t>Applied</t>
        </is>
      </c>
    </row>
    <row r="38">
      <c r="A38" s="6" t="inlineStr">
        <is>
          <t>CAND-0037</t>
        </is>
      </c>
      <c r="B38" s="6" t="inlineStr">
        <is>
          <t>Ali Sheikh</t>
        </is>
      </c>
      <c r="C38" s="6" t="inlineStr">
        <is>
          <t>Senior CSR</t>
        </is>
      </c>
      <c r="D38" s="6" t="inlineStr">
        <is>
          <t>Customer Support</t>
        </is>
      </c>
      <c r="E38" s="6" t="inlineStr">
        <is>
          <t>Indeed</t>
        </is>
      </c>
      <c r="F38" s="7" t="n">
        <v>46014</v>
      </c>
      <c r="G38" s="7" t="n">
        <v>46019</v>
      </c>
      <c r="H38" s="6" t="n"/>
      <c r="I38" s="6" t="n"/>
      <c r="J38" s="6" t="n"/>
      <c r="K38" s="6" t="inlineStr">
        <is>
          <t>Rejected</t>
        </is>
      </c>
      <c r="L38" s="6" t="inlineStr">
        <is>
          <t>Screened</t>
        </is>
      </c>
    </row>
    <row r="39">
      <c r="A39" s="6" t="inlineStr">
        <is>
          <t>CAND-0038</t>
        </is>
      </c>
      <c r="B39" s="6" t="inlineStr">
        <is>
          <t>Mahnoor Javed</t>
        </is>
      </c>
      <c r="C39" s="6" t="inlineStr">
        <is>
          <t>Operations Executive</t>
        </is>
      </c>
      <c r="D39" s="6" t="inlineStr">
        <is>
          <t>Operations</t>
        </is>
      </c>
      <c r="E39" s="6" t="inlineStr">
        <is>
          <t>Indeed</t>
        </is>
      </c>
      <c r="F39" s="7" t="n">
        <v>46052</v>
      </c>
      <c r="G39" s="6" t="n"/>
      <c r="H39" s="6" t="n"/>
      <c r="I39" s="6" t="n"/>
      <c r="J39" s="6" t="n"/>
      <c r="K39" s="6" t="inlineStr">
        <is>
          <t>Rejected</t>
        </is>
      </c>
      <c r="L39" s="6" t="inlineStr">
        <is>
          <t>Applied</t>
        </is>
      </c>
    </row>
    <row r="40">
      <c r="A40" s="6" t="inlineStr">
        <is>
          <t>CAND-0039</t>
        </is>
      </c>
      <c r="B40" s="6" t="inlineStr">
        <is>
          <t>Zainab Akhtar</t>
        </is>
      </c>
      <c r="C40" s="6" t="inlineStr">
        <is>
          <t>Quality Analyst</t>
        </is>
      </c>
      <c r="D40" s="6" t="inlineStr">
        <is>
          <t>Operations</t>
        </is>
      </c>
      <c r="E40" s="6" t="inlineStr">
        <is>
          <t>Indeed</t>
        </is>
      </c>
      <c r="F40" s="7" t="n">
        <v>46098</v>
      </c>
      <c r="G40" s="7" t="n">
        <v>46099</v>
      </c>
      <c r="H40" s="7" t="n">
        <v>46102</v>
      </c>
      <c r="I40" s="6" t="n"/>
      <c r="J40" s="6" t="n"/>
      <c r="K40" s="6" t="inlineStr">
        <is>
          <t>Rejected</t>
        </is>
      </c>
      <c r="L40" s="6" t="inlineStr">
        <is>
          <t>Interviewed</t>
        </is>
      </c>
    </row>
    <row r="41">
      <c r="A41" s="6" t="inlineStr">
        <is>
          <t>CAND-0040</t>
        </is>
      </c>
      <c r="B41" s="6" t="inlineStr">
        <is>
          <t>Iqra Javed</t>
        </is>
      </c>
      <c r="C41" s="6" t="inlineStr">
        <is>
          <t>IT Support Officer</t>
        </is>
      </c>
      <c r="D41" s="6" t="inlineStr">
        <is>
          <t>Information Technology</t>
        </is>
      </c>
      <c r="E41" s="6" t="inlineStr">
        <is>
          <t>Indeed</t>
        </is>
      </c>
      <c r="F41" s="7" t="n">
        <v>46076</v>
      </c>
      <c r="G41" s="7" t="n">
        <v>46078</v>
      </c>
      <c r="H41" s="7" t="n">
        <v>46085</v>
      </c>
      <c r="I41" s="6" t="n"/>
      <c r="J41" s="6" t="n"/>
      <c r="K41" s="6" t="inlineStr">
        <is>
          <t>In Process</t>
        </is>
      </c>
      <c r="L41" s="6" t="inlineStr">
        <is>
          <t>Interviewed</t>
        </is>
      </c>
    </row>
    <row r="42">
      <c r="A42" s="6" t="inlineStr">
        <is>
          <t>CAND-0041</t>
        </is>
      </c>
      <c r="B42" s="6" t="inlineStr">
        <is>
          <t>Tariq Iqbal</t>
        </is>
      </c>
      <c r="C42" s="6" t="inlineStr">
        <is>
          <t>Senior CSR</t>
        </is>
      </c>
      <c r="D42" s="6" t="inlineStr">
        <is>
          <t>Customer Support</t>
        </is>
      </c>
      <c r="E42" s="6" t="inlineStr">
        <is>
          <t>Referral</t>
        </is>
      </c>
      <c r="F42" s="7" t="n">
        <v>46236</v>
      </c>
      <c r="G42" s="7" t="n">
        <v>46237</v>
      </c>
      <c r="H42" s="7" t="n">
        <v>46244</v>
      </c>
      <c r="I42" s="7" t="n">
        <v>46248</v>
      </c>
      <c r="J42" s="7" t="n">
        <v>46268</v>
      </c>
      <c r="K42" s="6" t="inlineStr">
        <is>
          <t>Hired</t>
        </is>
      </c>
      <c r="L42" s="6" t="inlineStr">
        <is>
          <t>Hired</t>
        </is>
      </c>
    </row>
    <row r="43">
      <c r="A43" s="6" t="inlineStr">
        <is>
          <t>CAND-0042</t>
        </is>
      </c>
      <c r="B43" s="6" t="inlineStr">
        <is>
          <t>Danish Hussain</t>
        </is>
      </c>
      <c r="C43" s="6" t="inlineStr">
        <is>
          <t>Team Lead - Support</t>
        </is>
      </c>
      <c r="D43" s="6" t="inlineStr">
        <is>
          <t>Customer Support</t>
        </is>
      </c>
      <c r="E43" s="6" t="inlineStr">
        <is>
          <t>Walk-in</t>
        </is>
      </c>
      <c r="F43" s="7" t="n">
        <v>46223</v>
      </c>
      <c r="G43" s="7" t="n">
        <v>46228</v>
      </c>
      <c r="H43" s="7" t="n">
        <v>46231</v>
      </c>
      <c r="I43" s="6" t="n"/>
      <c r="J43" s="6" t="n"/>
      <c r="K43" s="6" t="inlineStr">
        <is>
          <t>Rejected</t>
        </is>
      </c>
      <c r="L43" s="6" t="inlineStr">
        <is>
          <t>Interviewed</t>
        </is>
      </c>
    </row>
    <row r="44">
      <c r="A44" s="6" t="inlineStr">
        <is>
          <t>CAND-0043</t>
        </is>
      </c>
      <c r="B44" s="6" t="inlineStr">
        <is>
          <t>Hira Hussain</t>
        </is>
      </c>
      <c r="C44" s="6" t="inlineStr">
        <is>
          <t>Accounts Officer</t>
        </is>
      </c>
      <c r="D44" s="6" t="inlineStr">
        <is>
          <t>Finance</t>
        </is>
      </c>
      <c r="E44" s="6" t="inlineStr">
        <is>
          <t>LinkedIn</t>
        </is>
      </c>
      <c r="F44" s="7" t="n">
        <v>46131</v>
      </c>
      <c r="G44" s="7" t="n">
        <v>46132</v>
      </c>
      <c r="H44" s="6" t="n"/>
      <c r="I44" s="6" t="n"/>
      <c r="J44" s="6" t="n"/>
      <c r="K44" s="6" t="inlineStr">
        <is>
          <t>Rejected</t>
        </is>
      </c>
      <c r="L44" s="6" t="inlineStr">
        <is>
          <t>Screened</t>
        </is>
      </c>
    </row>
    <row r="45">
      <c r="A45" s="6" t="inlineStr">
        <is>
          <t>CAND-0044</t>
        </is>
      </c>
      <c r="B45" s="6" t="inlineStr">
        <is>
          <t>Zainab Raza</t>
        </is>
      </c>
      <c r="C45" s="6" t="inlineStr">
        <is>
          <t>Team Lead - Support</t>
        </is>
      </c>
      <c r="D45" s="6" t="inlineStr">
        <is>
          <t>Customer Support</t>
        </is>
      </c>
      <c r="E45" s="6" t="inlineStr">
        <is>
          <t>Referral</t>
        </is>
      </c>
      <c r="F45" s="7" t="n">
        <v>46113</v>
      </c>
      <c r="G45" s="7" t="n">
        <v>46115</v>
      </c>
      <c r="H45" s="7" t="n">
        <v>46124</v>
      </c>
      <c r="I45" s="6" t="n"/>
      <c r="J45" s="6" t="n"/>
      <c r="K45" s="6" t="inlineStr">
        <is>
          <t>In Process</t>
        </is>
      </c>
      <c r="L45" s="6" t="inlineStr">
        <is>
          <t>Interviewed</t>
        </is>
      </c>
    </row>
    <row r="46">
      <c r="A46" s="6" t="inlineStr">
        <is>
          <t>CAND-0045</t>
        </is>
      </c>
      <c r="B46" s="6" t="inlineStr">
        <is>
          <t>Fahad Iqbal</t>
        </is>
      </c>
      <c r="C46" s="6" t="inlineStr">
        <is>
          <t>Quality Analyst</t>
        </is>
      </c>
      <c r="D46" s="6" t="inlineStr">
        <is>
          <t>Operations</t>
        </is>
      </c>
      <c r="E46" s="6" t="inlineStr">
        <is>
          <t>LinkedIn</t>
        </is>
      </c>
      <c r="F46" s="7" t="n">
        <v>46117</v>
      </c>
      <c r="G46" s="7" t="n">
        <v>46121</v>
      </c>
      <c r="H46" s="6" t="n"/>
      <c r="I46" s="6" t="n"/>
      <c r="J46" s="6" t="n"/>
      <c r="K46" s="6" t="inlineStr">
        <is>
          <t>Rejected</t>
        </is>
      </c>
      <c r="L46" s="6" t="inlineStr">
        <is>
          <t>Screened</t>
        </is>
      </c>
    </row>
    <row r="47">
      <c r="A47" s="6" t="inlineStr">
        <is>
          <t>CAND-0046</t>
        </is>
      </c>
      <c r="B47" s="6" t="inlineStr">
        <is>
          <t>Imran Farooq</t>
        </is>
      </c>
      <c r="C47" s="6" t="inlineStr">
        <is>
          <t>Senior CSR</t>
        </is>
      </c>
      <c r="D47" s="6" t="inlineStr">
        <is>
          <t>Customer Support</t>
        </is>
      </c>
      <c r="E47" s="6" t="inlineStr">
        <is>
          <t>Indeed</t>
        </is>
      </c>
      <c r="F47" s="7" t="n">
        <v>46223</v>
      </c>
      <c r="G47" s="7" t="n">
        <v>46225</v>
      </c>
      <c r="H47" s="6" t="n"/>
      <c r="I47" s="6" t="n"/>
      <c r="J47" s="6" t="n"/>
      <c r="K47" s="6" t="inlineStr">
        <is>
          <t>Rejected</t>
        </is>
      </c>
      <c r="L47" s="6" t="inlineStr">
        <is>
          <t>Screened</t>
        </is>
      </c>
    </row>
    <row r="48">
      <c r="A48" s="6" t="inlineStr">
        <is>
          <t>CAND-0047</t>
        </is>
      </c>
      <c r="B48" s="6" t="inlineStr">
        <is>
          <t>Bilal Javed</t>
        </is>
      </c>
      <c r="C48" s="6" t="inlineStr">
        <is>
          <t>Quality Analyst</t>
        </is>
      </c>
      <c r="D48" s="6" t="inlineStr">
        <is>
          <t>Operations</t>
        </is>
      </c>
      <c r="E48" s="6" t="inlineStr">
        <is>
          <t>Indeed</t>
        </is>
      </c>
      <c r="F48" s="7" t="n">
        <v>46120</v>
      </c>
      <c r="G48" s="7" t="n">
        <v>46122</v>
      </c>
      <c r="H48" s="7" t="n">
        <v>46125</v>
      </c>
      <c r="I48" s="7" t="n">
        <v>46130</v>
      </c>
      <c r="J48" s="7" t="n">
        <v>46139</v>
      </c>
      <c r="K48" s="6" t="inlineStr">
        <is>
          <t>Hired</t>
        </is>
      </c>
      <c r="L48" s="6" t="inlineStr">
        <is>
          <t>Hired</t>
        </is>
      </c>
    </row>
    <row r="49">
      <c r="A49" s="6" t="inlineStr">
        <is>
          <t>CAND-0048</t>
        </is>
      </c>
      <c r="B49" s="6" t="inlineStr">
        <is>
          <t>Tariq Qureshi</t>
        </is>
      </c>
      <c r="C49" s="6" t="inlineStr">
        <is>
          <t>IT Support Officer</t>
        </is>
      </c>
      <c r="D49" s="6" t="inlineStr">
        <is>
          <t>Information Technology</t>
        </is>
      </c>
      <c r="E49" s="6" t="inlineStr">
        <is>
          <t>Indeed</t>
        </is>
      </c>
      <c r="F49" s="7" t="n">
        <v>46158</v>
      </c>
      <c r="G49" s="7" t="n">
        <v>46160</v>
      </c>
      <c r="H49" s="7" t="n">
        <v>46163</v>
      </c>
      <c r="I49" s="6" t="n"/>
      <c r="J49" s="6" t="n"/>
      <c r="K49" s="6" t="inlineStr">
        <is>
          <t>Rejected</t>
        </is>
      </c>
      <c r="L49" s="6" t="inlineStr">
        <is>
          <t>Interviewed</t>
        </is>
      </c>
    </row>
    <row r="50">
      <c r="A50" s="6" t="inlineStr">
        <is>
          <t>CAND-0049</t>
        </is>
      </c>
      <c r="B50" s="6" t="inlineStr">
        <is>
          <t>Mahnoor Malik</t>
        </is>
      </c>
      <c r="C50" s="6" t="inlineStr">
        <is>
          <t>Senior CSR</t>
        </is>
      </c>
      <c r="D50" s="6" t="inlineStr">
        <is>
          <t>Customer Support</t>
        </is>
      </c>
      <c r="E50" s="6" t="inlineStr">
        <is>
          <t>Walk-in</t>
        </is>
      </c>
      <c r="F50" s="7" t="n">
        <v>46199</v>
      </c>
      <c r="G50" s="7" t="n">
        <v>46201</v>
      </c>
      <c r="H50" s="6" t="n"/>
      <c r="I50" s="6" t="n"/>
      <c r="J50" s="6" t="n"/>
      <c r="K50" s="6" t="inlineStr">
        <is>
          <t>Rejected</t>
        </is>
      </c>
      <c r="L50" s="6" t="inlineStr">
        <is>
          <t>Screened</t>
        </is>
      </c>
    </row>
    <row r="51">
      <c r="A51" s="6" t="inlineStr">
        <is>
          <t>CAND-0050</t>
        </is>
      </c>
      <c r="B51" s="6" t="inlineStr">
        <is>
          <t>Asma Iqbal</t>
        </is>
      </c>
      <c r="C51" s="6" t="inlineStr">
        <is>
          <t>Senior CSR</t>
        </is>
      </c>
      <c r="D51" s="6" t="inlineStr">
        <is>
          <t>Customer Support</t>
        </is>
      </c>
      <c r="E51" s="6" t="inlineStr">
        <is>
          <t>Walk-in</t>
        </is>
      </c>
      <c r="F51" s="7" t="n">
        <v>46266</v>
      </c>
      <c r="G51" s="7" t="n">
        <v>46270</v>
      </c>
      <c r="H51" s="7" t="n">
        <v>46281</v>
      </c>
      <c r="I51" s="7" t="n">
        <v>46287</v>
      </c>
      <c r="J51" s="7" t="n">
        <v>46299</v>
      </c>
      <c r="K51" s="6" t="inlineStr">
        <is>
          <t>Hired</t>
        </is>
      </c>
      <c r="L51" s="6" t="inlineStr">
        <is>
          <t>Hired</t>
        </is>
      </c>
    </row>
    <row r="52">
      <c r="A52" s="6" t="inlineStr">
        <is>
          <t>CAND-0051</t>
        </is>
      </c>
      <c r="B52" s="6" t="inlineStr">
        <is>
          <t>Imran Butt</t>
        </is>
      </c>
      <c r="C52" s="6" t="inlineStr">
        <is>
          <t>Quality Analyst</t>
        </is>
      </c>
      <c r="D52" s="6" t="inlineStr">
        <is>
          <t>Operations</t>
        </is>
      </c>
      <c r="E52" s="6" t="inlineStr">
        <is>
          <t>Indeed</t>
        </is>
      </c>
      <c r="F52" s="7" t="n">
        <v>46103</v>
      </c>
      <c r="G52" s="7" t="n">
        <v>46108</v>
      </c>
      <c r="H52" s="7" t="n">
        <v>46114</v>
      </c>
      <c r="I52" s="7" t="n">
        <v>46116</v>
      </c>
      <c r="J52" s="7" t="n">
        <v>46130</v>
      </c>
      <c r="K52" s="6" t="inlineStr">
        <is>
          <t>Hired</t>
        </is>
      </c>
      <c r="L52" s="6" t="inlineStr">
        <is>
          <t>Hired</t>
        </is>
      </c>
    </row>
    <row r="53">
      <c r="A53" s="6" t="inlineStr">
        <is>
          <t>CAND-0052</t>
        </is>
      </c>
      <c r="B53" s="6" t="inlineStr">
        <is>
          <t>Danish Nawaz</t>
        </is>
      </c>
      <c r="C53" s="6" t="inlineStr">
        <is>
          <t>Senior CSR</t>
        </is>
      </c>
      <c r="D53" s="6" t="inlineStr">
        <is>
          <t>Customer Support</t>
        </is>
      </c>
      <c r="E53" s="6" t="inlineStr">
        <is>
          <t>Walk-in</t>
        </is>
      </c>
      <c r="F53" s="7" t="n">
        <v>46003</v>
      </c>
      <c r="G53" s="7" t="n">
        <v>46005</v>
      </c>
      <c r="H53" s="7" t="n">
        <v>46010</v>
      </c>
      <c r="I53" s="6" t="n"/>
      <c r="J53" s="6" t="n"/>
      <c r="K53" s="6" t="inlineStr">
        <is>
          <t>Rejected</t>
        </is>
      </c>
      <c r="L53" s="6" t="inlineStr">
        <is>
          <t>Interviewed</t>
        </is>
      </c>
    </row>
    <row r="54">
      <c r="A54" s="6" t="inlineStr">
        <is>
          <t>CAND-0053</t>
        </is>
      </c>
      <c r="B54" s="6" t="inlineStr">
        <is>
          <t>Rabia Farooq</t>
        </is>
      </c>
      <c r="C54" s="6" t="inlineStr">
        <is>
          <t>Talent Acquisition Specialist</t>
        </is>
      </c>
      <c r="D54" s="6" t="inlineStr">
        <is>
          <t>Human Resources</t>
        </is>
      </c>
      <c r="E54" s="6" t="inlineStr">
        <is>
          <t>Referral</t>
        </is>
      </c>
      <c r="F54" s="7" t="n">
        <v>45993</v>
      </c>
      <c r="G54" s="7" t="n">
        <v>45997</v>
      </c>
      <c r="H54" s="7" t="n">
        <v>46009</v>
      </c>
      <c r="I54" s="6" t="n"/>
      <c r="J54" s="6" t="n"/>
      <c r="K54" s="6" t="inlineStr">
        <is>
          <t>Rejected</t>
        </is>
      </c>
      <c r="L54" s="6" t="inlineStr">
        <is>
          <t>Interviewed</t>
        </is>
      </c>
    </row>
    <row r="55">
      <c r="A55" s="6" t="inlineStr">
        <is>
          <t>CAND-0054</t>
        </is>
      </c>
      <c r="B55" s="6" t="inlineStr">
        <is>
          <t>Sadia Khan</t>
        </is>
      </c>
      <c r="C55" s="6" t="inlineStr">
        <is>
          <t>Quality Analyst</t>
        </is>
      </c>
      <c r="D55" s="6" t="inlineStr">
        <is>
          <t>Operations</t>
        </is>
      </c>
      <c r="E55" s="6" t="inlineStr">
        <is>
          <t>Rozee</t>
        </is>
      </c>
      <c r="F55" s="7" t="n">
        <v>46114</v>
      </c>
      <c r="G55" s="7" t="n">
        <v>46118</v>
      </c>
      <c r="H55" s="7" t="n">
        <v>46129</v>
      </c>
      <c r="I55" s="6" t="n"/>
      <c r="J55" s="6" t="n"/>
      <c r="K55" s="6" t="inlineStr">
        <is>
          <t>Rejected</t>
        </is>
      </c>
      <c r="L55" s="6" t="inlineStr">
        <is>
          <t>Interviewed</t>
        </is>
      </c>
    </row>
    <row r="56">
      <c r="A56" s="6" t="inlineStr">
        <is>
          <t>CAND-0055</t>
        </is>
      </c>
      <c r="B56" s="6" t="inlineStr">
        <is>
          <t>Hamza Hussain</t>
        </is>
      </c>
      <c r="C56" s="6" t="inlineStr">
        <is>
          <t>Software Engineer</t>
        </is>
      </c>
      <c r="D56" s="6" t="inlineStr">
        <is>
          <t>Information Technology</t>
        </is>
      </c>
      <c r="E56" s="6" t="inlineStr">
        <is>
          <t>Referral</t>
        </is>
      </c>
      <c r="F56" s="7" t="n">
        <v>45976</v>
      </c>
      <c r="G56" s="7" t="n">
        <v>45980</v>
      </c>
      <c r="H56" s="6" t="n"/>
      <c r="I56" s="6" t="n"/>
      <c r="J56" s="6" t="n"/>
      <c r="K56" s="6" t="inlineStr">
        <is>
          <t>Rejected</t>
        </is>
      </c>
      <c r="L56" s="6" t="inlineStr">
        <is>
          <t>Screened</t>
        </is>
      </c>
    </row>
    <row r="57">
      <c r="A57" s="6" t="inlineStr">
        <is>
          <t>CAND-0056</t>
        </is>
      </c>
      <c r="B57" s="6" t="inlineStr">
        <is>
          <t>Rabia Khan</t>
        </is>
      </c>
      <c r="C57" s="6" t="inlineStr">
        <is>
          <t>Team Lead - Support</t>
        </is>
      </c>
      <c r="D57" s="6" t="inlineStr">
        <is>
          <t>Customer Support</t>
        </is>
      </c>
      <c r="E57" s="6" t="inlineStr">
        <is>
          <t>Referral</t>
        </is>
      </c>
      <c r="F57" s="7" t="n">
        <v>46265</v>
      </c>
      <c r="G57" s="7" t="n">
        <v>46266</v>
      </c>
      <c r="H57" s="7" t="n">
        <v>46275</v>
      </c>
      <c r="I57" s="7" t="n">
        <v>46280</v>
      </c>
      <c r="J57" s="7" t="n">
        <v>46295</v>
      </c>
      <c r="K57" s="6" t="inlineStr">
        <is>
          <t>Hired</t>
        </is>
      </c>
      <c r="L57" s="6" t="inlineStr">
        <is>
          <t>Hired</t>
        </is>
      </c>
    </row>
    <row r="58">
      <c r="A58" s="6" t="inlineStr">
        <is>
          <t>CAND-0057</t>
        </is>
      </c>
      <c r="B58" s="6" t="inlineStr">
        <is>
          <t>Ali Farooq</t>
        </is>
      </c>
      <c r="C58" s="6" t="inlineStr">
        <is>
          <t>Talent Acquisition Specialist</t>
        </is>
      </c>
      <c r="D58" s="6" t="inlineStr">
        <is>
          <t>Human Resources</t>
        </is>
      </c>
      <c r="E58" s="6" t="inlineStr">
        <is>
          <t>Rozee</t>
        </is>
      </c>
      <c r="F58" s="7" t="n">
        <v>46134</v>
      </c>
      <c r="G58" s="7" t="n">
        <v>46138</v>
      </c>
      <c r="H58" s="7" t="n">
        <v>46147</v>
      </c>
      <c r="I58" s="7" t="n">
        <v>46149</v>
      </c>
      <c r="J58" s="7" t="n">
        <v>46173</v>
      </c>
      <c r="K58" s="6" t="inlineStr">
        <is>
          <t>Hired</t>
        </is>
      </c>
      <c r="L58" s="6" t="inlineStr">
        <is>
          <t>Hired</t>
        </is>
      </c>
    </row>
    <row r="59">
      <c r="A59" s="6" t="inlineStr">
        <is>
          <t>CAND-0058</t>
        </is>
      </c>
      <c r="B59" s="6" t="inlineStr">
        <is>
          <t>Mahnoor Sheikh</t>
        </is>
      </c>
      <c r="C59" s="6" t="inlineStr">
        <is>
          <t>Senior CSR</t>
        </is>
      </c>
      <c r="D59" s="6" t="inlineStr">
        <is>
          <t>Customer Support</t>
        </is>
      </c>
      <c r="E59" s="6" t="inlineStr">
        <is>
          <t>LinkedIn</t>
        </is>
      </c>
      <c r="F59" s="7" t="n">
        <v>45982</v>
      </c>
      <c r="G59" s="7" t="n">
        <v>45984</v>
      </c>
      <c r="H59" s="7" t="n">
        <v>45987</v>
      </c>
      <c r="I59" s="6" t="n"/>
      <c r="J59" s="6" t="n"/>
      <c r="K59" s="6" t="inlineStr">
        <is>
          <t>Rejected</t>
        </is>
      </c>
      <c r="L59" s="6" t="inlineStr">
        <is>
          <t>Interviewed</t>
        </is>
      </c>
    </row>
    <row r="60">
      <c r="A60" s="6" t="inlineStr">
        <is>
          <t>CAND-0059</t>
        </is>
      </c>
      <c r="B60" s="6" t="inlineStr">
        <is>
          <t>Shahid Shah</t>
        </is>
      </c>
      <c r="C60" s="6" t="inlineStr">
        <is>
          <t>Software Engineer</t>
        </is>
      </c>
      <c r="D60" s="6" t="inlineStr">
        <is>
          <t>Information Technology</t>
        </is>
      </c>
      <c r="E60" s="6" t="inlineStr">
        <is>
          <t>Referral</t>
        </is>
      </c>
      <c r="F60" s="7" t="n">
        <v>46093</v>
      </c>
      <c r="G60" s="7" t="n">
        <v>46095</v>
      </c>
      <c r="H60" s="7" t="n">
        <v>46099</v>
      </c>
      <c r="I60" s="6" t="n"/>
      <c r="J60" s="6" t="n"/>
      <c r="K60" s="6" t="inlineStr">
        <is>
          <t>Rejected</t>
        </is>
      </c>
      <c r="L60" s="6" t="inlineStr">
        <is>
          <t>Interviewed</t>
        </is>
      </c>
    </row>
    <row r="61">
      <c r="A61" s="6" t="inlineStr">
        <is>
          <t>CAND-0060</t>
        </is>
      </c>
      <c r="B61" s="6" t="inlineStr">
        <is>
          <t>Shahid Khan</t>
        </is>
      </c>
      <c r="C61" s="6" t="inlineStr">
        <is>
          <t>Customer Support Executive</t>
        </is>
      </c>
      <c r="D61" s="6" t="inlineStr">
        <is>
          <t>Customer Support</t>
        </is>
      </c>
      <c r="E61" s="6" t="inlineStr">
        <is>
          <t>Rozee</t>
        </is>
      </c>
      <c r="F61" s="7" t="n">
        <v>46256</v>
      </c>
      <c r="G61" s="7" t="n">
        <v>46260</v>
      </c>
      <c r="H61" s="7" t="n">
        <v>46266</v>
      </c>
      <c r="I61" s="7" t="n">
        <v>46273</v>
      </c>
      <c r="J61" s="6" t="n"/>
      <c r="K61" s="6" t="inlineStr">
        <is>
          <t>Withdrawn</t>
        </is>
      </c>
      <c r="L61" s="6" t="inlineStr">
        <is>
          <t>Offered</t>
        </is>
      </c>
    </row>
    <row r="62">
      <c r="A62" s="6" t="inlineStr">
        <is>
          <t>CAND-0061</t>
        </is>
      </c>
      <c r="B62" s="6" t="inlineStr">
        <is>
          <t>Nabeel Akhtar</t>
        </is>
      </c>
      <c r="C62" s="6" t="inlineStr">
        <is>
          <t>Customer Support Executive</t>
        </is>
      </c>
      <c r="D62" s="6" t="inlineStr">
        <is>
          <t>Customer Support</t>
        </is>
      </c>
      <c r="E62" s="6" t="inlineStr">
        <is>
          <t>Rozee</t>
        </is>
      </c>
      <c r="F62" s="7" t="n">
        <v>46269</v>
      </c>
      <c r="G62" s="6" t="n"/>
      <c r="H62" s="6" t="n"/>
      <c r="I62" s="6" t="n"/>
      <c r="J62" s="6" t="n"/>
      <c r="K62" s="6" t="inlineStr">
        <is>
          <t>Rejected</t>
        </is>
      </c>
      <c r="L62" s="6" t="inlineStr">
        <is>
          <t>Applied</t>
        </is>
      </c>
    </row>
    <row r="63">
      <c r="A63" s="6" t="inlineStr">
        <is>
          <t>CAND-0062</t>
        </is>
      </c>
      <c r="B63" s="6" t="inlineStr">
        <is>
          <t>Hira Iqbal</t>
        </is>
      </c>
      <c r="C63" s="6" t="inlineStr">
        <is>
          <t>Accounts Officer</t>
        </is>
      </c>
      <c r="D63" s="6" t="inlineStr">
        <is>
          <t>Finance</t>
        </is>
      </c>
      <c r="E63" s="6" t="inlineStr">
        <is>
          <t>Referral</t>
        </is>
      </c>
      <c r="F63" s="7" t="n">
        <v>46151</v>
      </c>
      <c r="G63" s="7" t="n">
        <v>46154</v>
      </c>
      <c r="H63" s="7" t="n">
        <v>46163</v>
      </c>
      <c r="I63" s="6" t="n"/>
      <c r="J63" s="6" t="n"/>
      <c r="K63" s="6" t="inlineStr">
        <is>
          <t>Rejected</t>
        </is>
      </c>
      <c r="L63" s="6" t="inlineStr">
        <is>
          <t>Interviewed</t>
        </is>
      </c>
    </row>
    <row r="64">
      <c r="A64" s="6" t="inlineStr">
        <is>
          <t>CAND-0063</t>
        </is>
      </c>
      <c r="B64" s="6" t="inlineStr">
        <is>
          <t>Nabeel Malik</t>
        </is>
      </c>
      <c r="C64" s="6" t="inlineStr">
        <is>
          <t>Talent Acquisition Specialist</t>
        </is>
      </c>
      <c r="D64" s="6" t="inlineStr">
        <is>
          <t>Human Resources</t>
        </is>
      </c>
      <c r="E64" s="6" t="inlineStr">
        <is>
          <t>Referral</t>
        </is>
      </c>
      <c r="F64" s="7" t="n">
        <v>46052</v>
      </c>
      <c r="G64" s="7" t="n">
        <v>46055</v>
      </c>
      <c r="H64" s="7" t="n">
        <v>46066</v>
      </c>
      <c r="I64" s="6" t="n"/>
      <c r="J64" s="6" t="n"/>
      <c r="K64" s="6" t="inlineStr">
        <is>
          <t>Rejected</t>
        </is>
      </c>
      <c r="L64" s="6" t="inlineStr">
        <is>
          <t>Interviewed</t>
        </is>
      </c>
    </row>
    <row r="65">
      <c r="A65" s="6" t="inlineStr">
        <is>
          <t>CAND-0064</t>
        </is>
      </c>
      <c r="B65" s="6" t="inlineStr">
        <is>
          <t>Danish Javed</t>
        </is>
      </c>
      <c r="C65" s="6" t="inlineStr">
        <is>
          <t>Quality Analyst</t>
        </is>
      </c>
      <c r="D65" s="6" t="inlineStr">
        <is>
          <t>Operations</t>
        </is>
      </c>
      <c r="E65" s="6" t="inlineStr">
        <is>
          <t>Indeed</t>
        </is>
      </c>
      <c r="F65" s="7" t="n">
        <v>46006</v>
      </c>
      <c r="G65" s="7" t="n">
        <v>46010</v>
      </c>
      <c r="H65" s="7" t="n">
        <v>46020</v>
      </c>
      <c r="I65" s="6" t="n"/>
      <c r="J65" s="6" t="n"/>
      <c r="K65" s="6" t="inlineStr">
        <is>
          <t>Rejected</t>
        </is>
      </c>
      <c r="L65" s="6" t="inlineStr">
        <is>
          <t>Interviewed</t>
        </is>
      </c>
    </row>
    <row r="66">
      <c r="A66" s="6" t="inlineStr">
        <is>
          <t>CAND-0065</t>
        </is>
      </c>
      <c r="B66" s="6" t="inlineStr">
        <is>
          <t>Sadia Javed</t>
        </is>
      </c>
      <c r="C66" s="6" t="inlineStr">
        <is>
          <t>Customer Support Executive</t>
        </is>
      </c>
      <c r="D66" s="6" t="inlineStr">
        <is>
          <t>Customer Support</t>
        </is>
      </c>
      <c r="E66" s="6" t="inlineStr">
        <is>
          <t>Rozee</t>
        </is>
      </c>
      <c r="F66" s="7" t="n">
        <v>46055</v>
      </c>
      <c r="G66" s="7" t="n">
        <v>46058</v>
      </c>
      <c r="H66" s="6" t="n"/>
      <c r="I66" s="6" t="n"/>
      <c r="J66" s="6" t="n"/>
      <c r="K66" s="6" t="inlineStr">
        <is>
          <t>Rejected</t>
        </is>
      </c>
      <c r="L66" s="6" t="inlineStr">
        <is>
          <t>Screened</t>
        </is>
      </c>
    </row>
    <row r="67">
      <c r="A67" s="6" t="inlineStr">
        <is>
          <t>CAND-0066</t>
        </is>
      </c>
      <c r="B67" s="6" t="inlineStr">
        <is>
          <t>Rabia Khan</t>
        </is>
      </c>
      <c r="C67" s="6" t="inlineStr">
        <is>
          <t>Quality Analyst</t>
        </is>
      </c>
      <c r="D67" s="6" t="inlineStr">
        <is>
          <t>Operations</t>
        </is>
      </c>
      <c r="E67" s="6" t="inlineStr">
        <is>
          <t>Walk-in</t>
        </is>
      </c>
      <c r="F67" s="7" t="n">
        <v>46059</v>
      </c>
      <c r="G67" s="7" t="n">
        <v>46063</v>
      </c>
      <c r="H67" s="7" t="n">
        <v>46069</v>
      </c>
      <c r="I67" s="6" t="n"/>
      <c r="J67" s="6" t="n"/>
      <c r="K67" s="6" t="inlineStr">
        <is>
          <t>Rejected</t>
        </is>
      </c>
      <c r="L67" s="6" t="inlineStr">
        <is>
          <t>Interviewed</t>
        </is>
      </c>
    </row>
    <row r="68">
      <c r="A68" s="6" t="inlineStr">
        <is>
          <t>CAND-0067</t>
        </is>
      </c>
      <c r="B68" s="6" t="inlineStr">
        <is>
          <t>Ahmed Ahmed</t>
        </is>
      </c>
      <c r="C68" s="6" t="inlineStr">
        <is>
          <t>IT Support Officer</t>
        </is>
      </c>
      <c r="D68" s="6" t="inlineStr">
        <is>
          <t>Information Technology</t>
        </is>
      </c>
      <c r="E68" s="6" t="inlineStr">
        <is>
          <t>Rozee</t>
        </is>
      </c>
      <c r="F68" s="7" t="n">
        <v>46075</v>
      </c>
      <c r="G68" s="7" t="n">
        <v>46077</v>
      </c>
      <c r="H68" s="7" t="n">
        <v>46089</v>
      </c>
      <c r="I68" s="7" t="n">
        <v>46095</v>
      </c>
      <c r="J68" s="7" t="n">
        <v>46115</v>
      </c>
      <c r="K68" s="6" t="inlineStr">
        <is>
          <t>Hired</t>
        </is>
      </c>
      <c r="L68" s="6" t="inlineStr">
        <is>
          <t>Hired</t>
        </is>
      </c>
    </row>
    <row r="69">
      <c r="A69" s="6" t="inlineStr">
        <is>
          <t>CAND-0068</t>
        </is>
      </c>
      <c r="B69" s="6" t="inlineStr">
        <is>
          <t>Hira Mahmood</t>
        </is>
      </c>
      <c r="C69" s="6" t="inlineStr">
        <is>
          <t>Quality Analyst</t>
        </is>
      </c>
      <c r="D69" s="6" t="inlineStr">
        <is>
          <t>Operations</t>
        </is>
      </c>
      <c r="E69" s="6" t="inlineStr">
        <is>
          <t>Referral</t>
        </is>
      </c>
      <c r="F69" s="7" t="n">
        <v>46100</v>
      </c>
      <c r="G69" s="7" t="n">
        <v>46102</v>
      </c>
      <c r="H69" s="7" t="n">
        <v>46108</v>
      </c>
      <c r="I69" s="7" t="n">
        <v>46115</v>
      </c>
      <c r="J69" s="7" t="n">
        <v>46127</v>
      </c>
      <c r="K69" s="6" t="inlineStr">
        <is>
          <t>Hired</t>
        </is>
      </c>
      <c r="L69" s="6" t="inlineStr">
        <is>
          <t>Hired</t>
        </is>
      </c>
    </row>
    <row r="70">
      <c r="A70" s="6" t="inlineStr">
        <is>
          <t>CAND-0069</t>
        </is>
      </c>
      <c r="B70" s="6" t="inlineStr">
        <is>
          <t>Kiran Farooq</t>
        </is>
      </c>
      <c r="C70" s="6" t="inlineStr">
        <is>
          <t>Customer Support Executive</t>
        </is>
      </c>
      <c r="D70" s="6" t="inlineStr">
        <is>
          <t>Customer Support</t>
        </is>
      </c>
      <c r="E70" s="6" t="inlineStr">
        <is>
          <t>Rozee</t>
        </is>
      </c>
      <c r="F70" s="7" t="n">
        <v>46263</v>
      </c>
      <c r="G70" s="6" t="n"/>
      <c r="H70" s="6" t="n"/>
      <c r="I70" s="6" t="n"/>
      <c r="J70" s="6" t="n"/>
      <c r="K70" s="6" t="inlineStr">
        <is>
          <t>Rejected</t>
        </is>
      </c>
      <c r="L70" s="6" t="inlineStr">
        <is>
          <t>Applied</t>
        </is>
      </c>
    </row>
    <row r="71">
      <c r="A71" s="6" t="inlineStr">
        <is>
          <t>CAND-0070</t>
        </is>
      </c>
      <c r="B71" s="6" t="inlineStr">
        <is>
          <t>Ali Butt</t>
        </is>
      </c>
      <c r="C71" s="6" t="inlineStr">
        <is>
          <t>Customer Support Executive</t>
        </is>
      </c>
      <c r="D71" s="6" t="inlineStr">
        <is>
          <t>Customer Support</t>
        </is>
      </c>
      <c r="E71" s="6" t="inlineStr">
        <is>
          <t>Indeed</t>
        </is>
      </c>
      <c r="F71" s="7" t="n">
        <v>46146</v>
      </c>
      <c r="G71" s="7" t="n">
        <v>46147</v>
      </c>
      <c r="H71" s="6" t="n"/>
      <c r="I71" s="6" t="n"/>
      <c r="J71" s="6" t="n"/>
      <c r="K71" s="6" t="inlineStr">
        <is>
          <t>Rejected</t>
        </is>
      </c>
      <c r="L71" s="6" t="inlineStr">
        <is>
          <t>Screened</t>
        </is>
      </c>
    </row>
    <row r="72">
      <c r="A72" s="6" t="inlineStr">
        <is>
          <t>CAND-0071</t>
        </is>
      </c>
      <c r="B72" s="6" t="inlineStr">
        <is>
          <t>Rabia Butt</t>
        </is>
      </c>
      <c r="C72" s="6" t="inlineStr">
        <is>
          <t>Customer Support Executive</t>
        </is>
      </c>
      <c r="D72" s="6" t="inlineStr">
        <is>
          <t>Customer Support</t>
        </is>
      </c>
      <c r="E72" s="6" t="inlineStr">
        <is>
          <t>Indeed</t>
        </is>
      </c>
      <c r="F72" s="7" t="n">
        <v>46213</v>
      </c>
      <c r="G72" s="7" t="n">
        <v>46214</v>
      </c>
      <c r="H72" s="7" t="n">
        <v>46224</v>
      </c>
      <c r="I72" s="7" t="n">
        <v>46228</v>
      </c>
      <c r="J72" s="7" t="n">
        <v>46236</v>
      </c>
      <c r="K72" s="6" t="inlineStr">
        <is>
          <t>Hired</t>
        </is>
      </c>
      <c r="L72" s="6" t="inlineStr">
        <is>
          <t>Hired</t>
        </is>
      </c>
    </row>
    <row r="73">
      <c r="A73" s="6" t="inlineStr">
        <is>
          <t>CAND-0072</t>
        </is>
      </c>
      <c r="B73" s="6" t="inlineStr">
        <is>
          <t>Ayesha Javed</t>
        </is>
      </c>
      <c r="C73" s="6" t="inlineStr">
        <is>
          <t>Senior CSR</t>
        </is>
      </c>
      <c r="D73" s="6" t="inlineStr">
        <is>
          <t>Customer Support</t>
        </is>
      </c>
      <c r="E73" s="6" t="inlineStr">
        <is>
          <t>LinkedIn</t>
        </is>
      </c>
      <c r="F73" s="7" t="n">
        <v>46167</v>
      </c>
      <c r="G73" s="7" t="n">
        <v>46172</v>
      </c>
      <c r="H73" s="6" t="n"/>
      <c r="I73" s="6" t="n"/>
      <c r="J73" s="6" t="n"/>
      <c r="K73" s="6" t="inlineStr">
        <is>
          <t>Rejected</t>
        </is>
      </c>
      <c r="L73" s="6" t="inlineStr">
        <is>
          <t>Screened</t>
        </is>
      </c>
    </row>
    <row r="74">
      <c r="A74" s="6" t="inlineStr">
        <is>
          <t>CAND-0073</t>
        </is>
      </c>
      <c r="B74" s="6" t="inlineStr">
        <is>
          <t>Iqra Ahmed</t>
        </is>
      </c>
      <c r="C74" s="6" t="inlineStr">
        <is>
          <t>Team Lead - Support</t>
        </is>
      </c>
      <c r="D74" s="6" t="inlineStr">
        <is>
          <t>Customer Support</t>
        </is>
      </c>
      <c r="E74" s="6" t="inlineStr">
        <is>
          <t>Indeed</t>
        </is>
      </c>
      <c r="F74" s="7" t="n">
        <v>46022</v>
      </c>
      <c r="G74" s="7" t="n">
        <v>46026</v>
      </c>
      <c r="H74" s="7" t="n">
        <v>46038</v>
      </c>
      <c r="I74" s="7" t="n">
        <v>46044</v>
      </c>
      <c r="J74" s="7" t="n">
        <v>46065</v>
      </c>
      <c r="K74" s="6" t="inlineStr">
        <is>
          <t>Hired</t>
        </is>
      </c>
      <c r="L74" s="6" t="inlineStr">
        <is>
          <t>Hired</t>
        </is>
      </c>
    </row>
    <row r="75">
      <c r="A75" s="6" t="inlineStr">
        <is>
          <t>CAND-0074</t>
        </is>
      </c>
      <c r="B75" s="6" t="inlineStr">
        <is>
          <t>Zainab Butt</t>
        </is>
      </c>
      <c r="C75" s="6" t="inlineStr">
        <is>
          <t>Team Lead - Support</t>
        </is>
      </c>
      <c r="D75" s="6" t="inlineStr">
        <is>
          <t>Customer Support</t>
        </is>
      </c>
      <c r="E75" s="6" t="inlineStr">
        <is>
          <t>Walk-in</t>
        </is>
      </c>
      <c r="F75" s="7" t="n">
        <v>46279</v>
      </c>
      <c r="G75" s="7" t="n">
        <v>46280</v>
      </c>
      <c r="H75" s="6" t="n"/>
      <c r="I75" s="6" t="n"/>
      <c r="J75" s="6" t="n"/>
      <c r="K75" s="6" t="inlineStr">
        <is>
          <t>Rejected</t>
        </is>
      </c>
      <c r="L75" s="6" t="inlineStr">
        <is>
          <t>Screened</t>
        </is>
      </c>
    </row>
    <row r="76">
      <c r="A76" s="6" t="inlineStr">
        <is>
          <t>CAND-0075</t>
        </is>
      </c>
      <c r="B76" s="6" t="inlineStr">
        <is>
          <t>Asma Ahmed</t>
        </is>
      </c>
      <c r="C76" s="6" t="inlineStr">
        <is>
          <t>Senior CSR</t>
        </is>
      </c>
      <c r="D76" s="6" t="inlineStr">
        <is>
          <t>Customer Support</t>
        </is>
      </c>
      <c r="E76" s="6" t="inlineStr">
        <is>
          <t>Indeed</t>
        </is>
      </c>
      <c r="F76" s="7" t="n">
        <v>46084</v>
      </c>
      <c r="G76" s="7" t="n">
        <v>46085</v>
      </c>
      <c r="H76" s="7" t="n">
        <v>46094</v>
      </c>
      <c r="I76" s="7" t="n">
        <v>46100</v>
      </c>
      <c r="J76" s="7" t="n">
        <v>46108</v>
      </c>
      <c r="K76" s="6" t="inlineStr">
        <is>
          <t>Hired</t>
        </is>
      </c>
      <c r="L76" s="6" t="inlineStr">
        <is>
          <t>Hired</t>
        </is>
      </c>
    </row>
  </sheetData>
  <autoFilter ref="A1:L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5" t="inlineStr">
        <is>
          <t>Month</t>
        </is>
      </c>
      <c r="B1" s="5" t="inlineStr">
        <is>
          <t>Department</t>
        </is>
      </c>
      <c r="C1" s="5" t="inlineStr">
        <is>
          <t>Opening HC</t>
        </is>
      </c>
      <c r="D1" s="5" t="inlineStr">
        <is>
          <t>Joiners</t>
        </is>
      </c>
      <c r="E1" s="5" t="inlineStr">
        <is>
          <t>Leavers</t>
        </is>
      </c>
      <c r="F1" s="5" t="inlineStr">
        <is>
          <t>Closing HC</t>
        </is>
      </c>
    </row>
    <row r="2">
      <c r="A2" s="6" t="inlineStr">
        <is>
          <t>Oct-25</t>
        </is>
      </c>
      <c r="B2" s="6" t="inlineStr">
        <is>
          <t>Customer Support</t>
        </is>
      </c>
      <c r="C2" s="6" t="n">
        <v>118</v>
      </c>
      <c r="D2" s="6" t="n">
        <v>5</v>
      </c>
      <c r="E2" s="6" t="n">
        <v>4</v>
      </c>
      <c r="F2" s="6" t="n">
        <v>119</v>
      </c>
    </row>
    <row r="3">
      <c r="A3" s="6" t="inlineStr">
        <is>
          <t>Oct-25</t>
        </is>
      </c>
      <c r="B3" s="6" t="inlineStr">
        <is>
          <t>Human Resources</t>
        </is>
      </c>
      <c r="C3" s="6" t="n">
        <v>8</v>
      </c>
      <c r="D3" s="6" t="n">
        <v>2</v>
      </c>
      <c r="E3" s="6" t="n">
        <v>1</v>
      </c>
      <c r="F3" s="6" t="n">
        <v>9</v>
      </c>
    </row>
    <row r="4">
      <c r="A4" s="6" t="inlineStr">
        <is>
          <t>Oct-25</t>
        </is>
      </c>
      <c r="B4" s="6" t="inlineStr">
        <is>
          <t>Information Technology</t>
        </is>
      </c>
      <c r="C4" s="6" t="n">
        <v>24</v>
      </c>
      <c r="D4" s="6" t="n">
        <v>2</v>
      </c>
      <c r="E4" s="6" t="n">
        <v>1</v>
      </c>
      <c r="F4" s="6" t="n">
        <v>25</v>
      </c>
    </row>
    <row r="5">
      <c r="A5" s="6" t="inlineStr">
        <is>
          <t>Oct-25</t>
        </is>
      </c>
      <c r="B5" s="6" t="inlineStr">
        <is>
          <t>Finance</t>
        </is>
      </c>
      <c r="C5" s="6" t="n">
        <v>10</v>
      </c>
      <c r="D5" s="6" t="n">
        <v>0</v>
      </c>
      <c r="E5" s="6" t="n">
        <v>2</v>
      </c>
      <c r="F5" s="6" t="n">
        <v>8</v>
      </c>
    </row>
    <row r="6">
      <c r="A6" s="6" t="inlineStr">
        <is>
          <t>Oct-25</t>
        </is>
      </c>
      <c r="B6" s="6" t="inlineStr">
        <is>
          <t>Operations</t>
        </is>
      </c>
      <c r="C6" s="6" t="n">
        <v>38</v>
      </c>
      <c r="D6" s="6" t="n">
        <v>0</v>
      </c>
      <c r="E6" s="6" t="n">
        <v>1</v>
      </c>
      <c r="F6" s="6" t="n">
        <v>37</v>
      </c>
    </row>
    <row r="7">
      <c r="A7" s="6" t="inlineStr">
        <is>
          <t>Nov-25</t>
        </is>
      </c>
      <c r="B7" s="6" t="inlineStr">
        <is>
          <t>Customer Support</t>
        </is>
      </c>
      <c r="C7" s="6" t="n">
        <v>119</v>
      </c>
      <c r="D7" s="6" t="n">
        <v>5</v>
      </c>
      <c r="E7" s="6" t="n">
        <v>5</v>
      </c>
      <c r="F7" s="6" t="n">
        <v>119</v>
      </c>
    </row>
    <row r="8">
      <c r="A8" s="6" t="inlineStr">
        <is>
          <t>Nov-25</t>
        </is>
      </c>
      <c r="B8" s="6" t="inlineStr">
        <is>
          <t>Human Resources</t>
        </is>
      </c>
      <c r="C8" s="6" t="n">
        <v>9</v>
      </c>
      <c r="D8" s="6" t="n">
        <v>0</v>
      </c>
      <c r="E8" s="6" t="n">
        <v>2</v>
      </c>
      <c r="F8" s="6" t="n">
        <v>7</v>
      </c>
    </row>
    <row r="9">
      <c r="A9" s="6" t="inlineStr">
        <is>
          <t>Nov-25</t>
        </is>
      </c>
      <c r="B9" s="6" t="inlineStr">
        <is>
          <t>Information Technology</t>
        </is>
      </c>
      <c r="C9" s="6" t="n">
        <v>25</v>
      </c>
      <c r="D9" s="6" t="n">
        <v>0</v>
      </c>
      <c r="E9" s="6" t="n">
        <v>2</v>
      </c>
      <c r="F9" s="6" t="n">
        <v>23</v>
      </c>
    </row>
    <row r="10">
      <c r="A10" s="6" t="inlineStr">
        <is>
          <t>Nov-25</t>
        </is>
      </c>
      <c r="B10" s="6" t="inlineStr">
        <is>
          <t>Finance</t>
        </is>
      </c>
      <c r="C10" s="6" t="n">
        <v>8</v>
      </c>
      <c r="D10" s="6" t="n">
        <v>0</v>
      </c>
      <c r="E10" s="6" t="n">
        <v>1</v>
      </c>
      <c r="F10" s="6" t="n">
        <v>7</v>
      </c>
    </row>
    <row r="11">
      <c r="A11" s="6" t="inlineStr">
        <is>
          <t>Nov-25</t>
        </is>
      </c>
      <c r="B11" s="6" t="inlineStr">
        <is>
          <t>Operations</t>
        </is>
      </c>
      <c r="C11" s="6" t="n">
        <v>37</v>
      </c>
      <c r="D11" s="6" t="n">
        <v>0</v>
      </c>
      <c r="E11" s="6" t="n">
        <v>0</v>
      </c>
      <c r="F11" s="6" t="n">
        <v>37</v>
      </c>
    </row>
    <row r="12">
      <c r="A12" s="6" t="inlineStr">
        <is>
          <t>Dec-25</t>
        </is>
      </c>
      <c r="B12" s="6" t="inlineStr">
        <is>
          <t>Customer Support</t>
        </is>
      </c>
      <c r="C12" s="6" t="n">
        <v>119</v>
      </c>
      <c r="D12" s="6" t="n">
        <v>2</v>
      </c>
      <c r="E12" s="6" t="n">
        <v>3</v>
      </c>
      <c r="F12" s="6" t="n">
        <v>118</v>
      </c>
    </row>
    <row r="13">
      <c r="A13" s="6" t="inlineStr">
        <is>
          <t>Dec-25</t>
        </is>
      </c>
      <c r="B13" s="6" t="inlineStr">
        <is>
          <t>Human Resources</t>
        </is>
      </c>
      <c r="C13" s="6" t="n">
        <v>7</v>
      </c>
      <c r="D13" s="6" t="n">
        <v>1</v>
      </c>
      <c r="E13" s="6" t="n">
        <v>2</v>
      </c>
      <c r="F13" s="6" t="n">
        <v>6</v>
      </c>
    </row>
    <row r="14">
      <c r="A14" s="6" t="inlineStr">
        <is>
          <t>Dec-25</t>
        </is>
      </c>
      <c r="B14" s="6" t="inlineStr">
        <is>
          <t>Information Technology</t>
        </is>
      </c>
      <c r="C14" s="6" t="n">
        <v>23</v>
      </c>
      <c r="D14" s="6" t="n">
        <v>2</v>
      </c>
      <c r="E14" s="6" t="n">
        <v>2</v>
      </c>
      <c r="F14" s="6" t="n">
        <v>23</v>
      </c>
    </row>
    <row r="15">
      <c r="A15" s="6" t="inlineStr">
        <is>
          <t>Dec-25</t>
        </is>
      </c>
      <c r="B15" s="6" t="inlineStr">
        <is>
          <t>Finance</t>
        </is>
      </c>
      <c r="C15" s="6" t="n">
        <v>7</v>
      </c>
      <c r="D15" s="6" t="n">
        <v>1</v>
      </c>
      <c r="E15" s="6" t="n">
        <v>1</v>
      </c>
      <c r="F15" s="6" t="n">
        <v>7</v>
      </c>
    </row>
    <row r="16">
      <c r="A16" s="6" t="inlineStr">
        <is>
          <t>Dec-25</t>
        </is>
      </c>
      <c r="B16" s="6" t="inlineStr">
        <is>
          <t>Operations</t>
        </is>
      </c>
      <c r="C16" s="6" t="n">
        <v>37</v>
      </c>
      <c r="D16" s="6" t="n">
        <v>0</v>
      </c>
      <c r="E16" s="6" t="n">
        <v>1</v>
      </c>
      <c r="F16" s="6" t="n">
        <v>36</v>
      </c>
    </row>
    <row r="17">
      <c r="A17" s="6" t="inlineStr">
        <is>
          <t>Jan-26</t>
        </is>
      </c>
      <c r="B17" s="6" t="inlineStr">
        <is>
          <t>Customer Support</t>
        </is>
      </c>
      <c r="C17" s="6" t="n">
        <v>118</v>
      </c>
      <c r="D17" s="6" t="n">
        <v>6</v>
      </c>
      <c r="E17" s="6" t="n">
        <v>7</v>
      </c>
      <c r="F17" s="6" t="n">
        <v>117</v>
      </c>
    </row>
    <row r="18">
      <c r="A18" s="6" t="inlineStr">
        <is>
          <t>Jan-26</t>
        </is>
      </c>
      <c r="B18" s="6" t="inlineStr">
        <is>
          <t>Human Resources</t>
        </is>
      </c>
      <c r="C18" s="6" t="n">
        <v>6</v>
      </c>
      <c r="D18" s="6" t="n">
        <v>1</v>
      </c>
      <c r="E18" s="6" t="n">
        <v>1</v>
      </c>
      <c r="F18" s="6" t="n">
        <v>6</v>
      </c>
    </row>
    <row r="19">
      <c r="A19" s="6" t="inlineStr">
        <is>
          <t>Jan-26</t>
        </is>
      </c>
      <c r="B19" s="6" t="inlineStr">
        <is>
          <t>Information Technology</t>
        </is>
      </c>
      <c r="C19" s="6" t="n">
        <v>23</v>
      </c>
      <c r="D19" s="6" t="n">
        <v>2</v>
      </c>
      <c r="E19" s="6" t="n">
        <v>2</v>
      </c>
      <c r="F19" s="6" t="n">
        <v>23</v>
      </c>
    </row>
    <row r="20">
      <c r="A20" s="6" t="inlineStr">
        <is>
          <t>Jan-26</t>
        </is>
      </c>
      <c r="B20" s="6" t="inlineStr">
        <is>
          <t>Finance</t>
        </is>
      </c>
      <c r="C20" s="6" t="n">
        <v>7</v>
      </c>
      <c r="D20" s="6" t="n">
        <v>1</v>
      </c>
      <c r="E20" s="6" t="n">
        <v>1</v>
      </c>
      <c r="F20" s="6" t="n">
        <v>7</v>
      </c>
    </row>
    <row r="21">
      <c r="A21" s="6" t="inlineStr">
        <is>
          <t>Jan-26</t>
        </is>
      </c>
      <c r="B21" s="6" t="inlineStr">
        <is>
          <t>Operations</t>
        </is>
      </c>
      <c r="C21" s="6" t="n">
        <v>36</v>
      </c>
      <c r="D21" s="6" t="n">
        <v>0</v>
      </c>
      <c r="E21" s="6" t="n">
        <v>2</v>
      </c>
      <c r="F21" s="6" t="n">
        <v>34</v>
      </c>
    </row>
    <row r="22">
      <c r="A22" s="6" t="inlineStr">
        <is>
          <t>Feb-26</t>
        </is>
      </c>
      <c r="B22" s="6" t="inlineStr">
        <is>
          <t>Customer Support</t>
        </is>
      </c>
      <c r="C22" s="6" t="n">
        <v>117</v>
      </c>
      <c r="D22" s="6" t="n">
        <v>2</v>
      </c>
      <c r="E22" s="6" t="n">
        <v>5</v>
      </c>
      <c r="F22" s="6" t="n">
        <v>114</v>
      </c>
    </row>
    <row r="23">
      <c r="A23" s="6" t="inlineStr">
        <is>
          <t>Feb-26</t>
        </is>
      </c>
      <c r="B23" s="6" t="inlineStr">
        <is>
          <t>Human Resources</t>
        </is>
      </c>
      <c r="C23" s="6" t="n">
        <v>6</v>
      </c>
      <c r="D23" s="6" t="n">
        <v>2</v>
      </c>
      <c r="E23" s="6" t="n">
        <v>1</v>
      </c>
      <c r="F23" s="6" t="n">
        <v>7</v>
      </c>
    </row>
    <row r="24">
      <c r="A24" s="6" t="inlineStr">
        <is>
          <t>Feb-26</t>
        </is>
      </c>
      <c r="B24" s="6" t="inlineStr">
        <is>
          <t>Information Technology</t>
        </is>
      </c>
      <c r="C24" s="6" t="n">
        <v>23</v>
      </c>
      <c r="D24" s="6" t="n">
        <v>2</v>
      </c>
      <c r="E24" s="6" t="n">
        <v>1</v>
      </c>
      <c r="F24" s="6" t="n">
        <v>24</v>
      </c>
    </row>
    <row r="25">
      <c r="A25" s="6" t="inlineStr">
        <is>
          <t>Feb-26</t>
        </is>
      </c>
      <c r="B25" s="6" t="inlineStr">
        <is>
          <t>Finance</t>
        </is>
      </c>
      <c r="C25" s="6" t="n">
        <v>7</v>
      </c>
      <c r="D25" s="6" t="n">
        <v>0</v>
      </c>
      <c r="E25" s="6" t="n">
        <v>0</v>
      </c>
      <c r="F25" s="6" t="n">
        <v>7</v>
      </c>
    </row>
    <row r="26">
      <c r="A26" s="6" t="inlineStr">
        <is>
          <t>Feb-26</t>
        </is>
      </c>
      <c r="B26" s="6" t="inlineStr">
        <is>
          <t>Operations</t>
        </is>
      </c>
      <c r="C26" s="6" t="n">
        <v>34</v>
      </c>
      <c r="D26" s="6" t="n">
        <v>0</v>
      </c>
      <c r="E26" s="6" t="n">
        <v>2</v>
      </c>
      <c r="F26" s="6" t="n">
        <v>32</v>
      </c>
    </row>
    <row r="27">
      <c r="A27" s="6" t="inlineStr">
        <is>
          <t>Mar-26</t>
        </is>
      </c>
      <c r="B27" s="6" t="inlineStr">
        <is>
          <t>Customer Support</t>
        </is>
      </c>
      <c r="C27" s="6" t="n">
        <v>114</v>
      </c>
      <c r="D27" s="6" t="n">
        <v>2</v>
      </c>
      <c r="E27" s="6" t="n">
        <v>8</v>
      </c>
      <c r="F27" s="6" t="n">
        <v>108</v>
      </c>
    </row>
    <row r="28">
      <c r="A28" s="6" t="inlineStr">
        <is>
          <t>Mar-26</t>
        </is>
      </c>
      <c r="B28" s="6" t="inlineStr">
        <is>
          <t>Human Resources</t>
        </is>
      </c>
      <c r="C28" s="6" t="n">
        <v>7</v>
      </c>
      <c r="D28" s="6" t="n">
        <v>2</v>
      </c>
      <c r="E28" s="6" t="n">
        <v>1</v>
      </c>
      <c r="F28" s="6" t="n">
        <v>8</v>
      </c>
    </row>
    <row r="29">
      <c r="A29" s="6" t="inlineStr">
        <is>
          <t>Mar-26</t>
        </is>
      </c>
      <c r="B29" s="6" t="inlineStr">
        <is>
          <t>Information Technology</t>
        </is>
      </c>
      <c r="C29" s="6" t="n">
        <v>24</v>
      </c>
      <c r="D29" s="6" t="n">
        <v>2</v>
      </c>
      <c r="E29" s="6" t="n">
        <v>0</v>
      </c>
      <c r="F29" s="6" t="n">
        <v>26</v>
      </c>
    </row>
    <row r="30">
      <c r="A30" s="6" t="inlineStr">
        <is>
          <t>Mar-26</t>
        </is>
      </c>
      <c r="B30" s="6" t="inlineStr">
        <is>
          <t>Finance</t>
        </is>
      </c>
      <c r="C30" s="6" t="n">
        <v>7</v>
      </c>
      <c r="D30" s="6" t="n">
        <v>0</v>
      </c>
      <c r="E30" s="6" t="n">
        <v>1</v>
      </c>
      <c r="F30" s="6" t="n">
        <v>6</v>
      </c>
    </row>
    <row r="31">
      <c r="A31" s="6" t="inlineStr">
        <is>
          <t>Mar-26</t>
        </is>
      </c>
      <c r="B31" s="6" t="inlineStr">
        <is>
          <t>Operations</t>
        </is>
      </c>
      <c r="C31" s="6" t="n">
        <v>32</v>
      </c>
      <c r="D31" s="6" t="n">
        <v>2</v>
      </c>
      <c r="E31" s="6" t="n">
        <v>2</v>
      </c>
      <c r="F31" s="6" t="n">
        <v>32</v>
      </c>
    </row>
    <row r="32">
      <c r="A32" s="6" t="inlineStr">
        <is>
          <t>Apr-26</t>
        </is>
      </c>
      <c r="B32" s="6" t="inlineStr">
        <is>
          <t>Customer Support</t>
        </is>
      </c>
      <c r="C32" s="6" t="n">
        <v>108</v>
      </c>
      <c r="D32" s="6" t="n">
        <v>9</v>
      </c>
      <c r="E32" s="6" t="n">
        <v>4</v>
      </c>
      <c r="F32" s="6" t="n">
        <v>113</v>
      </c>
    </row>
    <row r="33">
      <c r="A33" s="6" t="inlineStr">
        <is>
          <t>Apr-26</t>
        </is>
      </c>
      <c r="B33" s="6" t="inlineStr">
        <is>
          <t>Human Resources</t>
        </is>
      </c>
      <c r="C33" s="6" t="n">
        <v>8</v>
      </c>
      <c r="D33" s="6" t="n">
        <v>0</v>
      </c>
      <c r="E33" s="6" t="n">
        <v>2</v>
      </c>
      <c r="F33" s="6" t="n">
        <v>6</v>
      </c>
    </row>
    <row r="34">
      <c r="A34" s="6" t="inlineStr">
        <is>
          <t>Apr-26</t>
        </is>
      </c>
      <c r="B34" s="6" t="inlineStr">
        <is>
          <t>Information Technology</t>
        </is>
      </c>
      <c r="C34" s="6" t="n">
        <v>26</v>
      </c>
      <c r="D34" s="6" t="n">
        <v>1</v>
      </c>
      <c r="E34" s="6" t="n">
        <v>2</v>
      </c>
      <c r="F34" s="6" t="n">
        <v>25</v>
      </c>
    </row>
    <row r="35">
      <c r="A35" s="6" t="inlineStr">
        <is>
          <t>Apr-26</t>
        </is>
      </c>
      <c r="B35" s="6" t="inlineStr">
        <is>
          <t>Finance</t>
        </is>
      </c>
      <c r="C35" s="6" t="n">
        <v>6</v>
      </c>
      <c r="D35" s="6" t="n">
        <v>1</v>
      </c>
      <c r="E35" s="6" t="n">
        <v>0</v>
      </c>
      <c r="F35" s="6" t="n">
        <v>7</v>
      </c>
    </row>
    <row r="36">
      <c r="A36" s="6" t="inlineStr">
        <is>
          <t>Apr-26</t>
        </is>
      </c>
      <c r="B36" s="6" t="inlineStr">
        <is>
          <t>Operations</t>
        </is>
      </c>
      <c r="C36" s="6" t="n">
        <v>32</v>
      </c>
      <c r="D36" s="6" t="n">
        <v>1</v>
      </c>
      <c r="E36" s="6" t="n">
        <v>1</v>
      </c>
      <c r="F36" s="6" t="n">
        <v>32</v>
      </c>
    </row>
    <row r="37">
      <c r="A37" s="6" t="inlineStr">
        <is>
          <t>May-26</t>
        </is>
      </c>
      <c r="B37" s="6" t="inlineStr">
        <is>
          <t>Customer Support</t>
        </is>
      </c>
      <c r="C37" s="6" t="n">
        <v>113</v>
      </c>
      <c r="D37" s="6" t="n">
        <v>8</v>
      </c>
      <c r="E37" s="6" t="n">
        <v>4</v>
      </c>
      <c r="F37" s="6" t="n">
        <v>117</v>
      </c>
    </row>
    <row r="38">
      <c r="A38" s="6" t="inlineStr">
        <is>
          <t>May-26</t>
        </is>
      </c>
      <c r="B38" s="6" t="inlineStr">
        <is>
          <t>Human Resources</t>
        </is>
      </c>
      <c r="C38" s="6" t="n">
        <v>6</v>
      </c>
      <c r="D38" s="6" t="n">
        <v>1</v>
      </c>
      <c r="E38" s="6" t="n">
        <v>2</v>
      </c>
      <c r="F38" s="6" t="n">
        <v>5</v>
      </c>
    </row>
    <row r="39">
      <c r="A39" s="6" t="inlineStr">
        <is>
          <t>May-26</t>
        </is>
      </c>
      <c r="B39" s="6" t="inlineStr">
        <is>
          <t>Information Technology</t>
        </is>
      </c>
      <c r="C39" s="6" t="n">
        <v>25</v>
      </c>
      <c r="D39" s="6" t="n">
        <v>0</v>
      </c>
      <c r="E39" s="6" t="n">
        <v>0</v>
      </c>
      <c r="F39" s="6" t="n">
        <v>25</v>
      </c>
    </row>
    <row r="40">
      <c r="A40" s="6" t="inlineStr">
        <is>
          <t>May-26</t>
        </is>
      </c>
      <c r="B40" s="6" t="inlineStr">
        <is>
          <t>Finance</t>
        </is>
      </c>
      <c r="C40" s="6" t="n">
        <v>7</v>
      </c>
      <c r="D40" s="6" t="n">
        <v>1</v>
      </c>
      <c r="E40" s="6" t="n">
        <v>1</v>
      </c>
      <c r="F40" s="6" t="n">
        <v>7</v>
      </c>
    </row>
    <row r="41">
      <c r="A41" s="6" t="inlineStr">
        <is>
          <t>May-26</t>
        </is>
      </c>
      <c r="B41" s="6" t="inlineStr">
        <is>
          <t>Operations</t>
        </is>
      </c>
      <c r="C41" s="6" t="n">
        <v>32</v>
      </c>
      <c r="D41" s="6" t="n">
        <v>2</v>
      </c>
      <c r="E41" s="6" t="n">
        <v>1</v>
      </c>
      <c r="F41" s="6" t="n">
        <v>33</v>
      </c>
    </row>
    <row r="42">
      <c r="A42" s="6" t="inlineStr">
        <is>
          <t>Jun-26</t>
        </is>
      </c>
      <c r="B42" s="6" t="inlineStr">
        <is>
          <t>Customer Support</t>
        </is>
      </c>
      <c r="C42" s="6" t="n">
        <v>117</v>
      </c>
      <c r="D42" s="6" t="n">
        <v>6</v>
      </c>
      <c r="E42" s="6" t="n">
        <v>7</v>
      </c>
      <c r="F42" s="6" t="n">
        <v>116</v>
      </c>
    </row>
    <row r="43">
      <c r="A43" s="6" t="inlineStr">
        <is>
          <t>Jun-26</t>
        </is>
      </c>
      <c r="B43" s="6" t="inlineStr">
        <is>
          <t>Human Resources</t>
        </is>
      </c>
      <c r="C43" s="6" t="n">
        <v>5</v>
      </c>
      <c r="D43" s="6" t="n">
        <v>1</v>
      </c>
      <c r="E43" s="6" t="n">
        <v>2</v>
      </c>
      <c r="F43" s="6" t="n">
        <v>4</v>
      </c>
    </row>
    <row r="44">
      <c r="A44" s="6" t="inlineStr">
        <is>
          <t>Jun-26</t>
        </is>
      </c>
      <c r="B44" s="6" t="inlineStr">
        <is>
          <t>Information Technology</t>
        </is>
      </c>
      <c r="C44" s="6" t="n">
        <v>25</v>
      </c>
      <c r="D44" s="6" t="n">
        <v>0</v>
      </c>
      <c r="E44" s="6" t="n">
        <v>1</v>
      </c>
      <c r="F44" s="6" t="n">
        <v>24</v>
      </c>
    </row>
    <row r="45">
      <c r="A45" s="6" t="inlineStr">
        <is>
          <t>Jun-26</t>
        </is>
      </c>
      <c r="B45" s="6" t="inlineStr">
        <is>
          <t>Finance</t>
        </is>
      </c>
      <c r="C45" s="6" t="n">
        <v>7</v>
      </c>
      <c r="D45" s="6" t="n">
        <v>0</v>
      </c>
      <c r="E45" s="6" t="n">
        <v>1</v>
      </c>
      <c r="F45" s="6" t="n">
        <v>6</v>
      </c>
    </row>
    <row r="46">
      <c r="A46" s="6" t="inlineStr">
        <is>
          <t>Jun-26</t>
        </is>
      </c>
      <c r="B46" s="6" t="inlineStr">
        <is>
          <t>Operations</t>
        </is>
      </c>
      <c r="C46" s="6" t="n">
        <v>33</v>
      </c>
      <c r="D46" s="6" t="n">
        <v>1</v>
      </c>
      <c r="E46" s="6" t="n">
        <v>1</v>
      </c>
      <c r="F46" s="6" t="n">
        <v>33</v>
      </c>
    </row>
    <row r="47">
      <c r="A47" s="6" t="inlineStr">
        <is>
          <t>Jul-26</t>
        </is>
      </c>
      <c r="B47" s="6" t="inlineStr">
        <is>
          <t>Customer Support</t>
        </is>
      </c>
      <c r="C47" s="6" t="n">
        <v>116</v>
      </c>
      <c r="D47" s="6" t="n">
        <v>3</v>
      </c>
      <c r="E47" s="6" t="n">
        <v>8</v>
      </c>
      <c r="F47" s="6" t="n">
        <v>111</v>
      </c>
    </row>
    <row r="48">
      <c r="A48" s="6" t="inlineStr">
        <is>
          <t>Jul-26</t>
        </is>
      </c>
      <c r="B48" s="6" t="inlineStr">
        <is>
          <t>Human Resources</t>
        </is>
      </c>
      <c r="C48" s="6" t="n">
        <v>4</v>
      </c>
      <c r="D48" s="6" t="n">
        <v>1</v>
      </c>
      <c r="E48" s="6" t="n">
        <v>2</v>
      </c>
      <c r="F48" s="6" t="n">
        <v>3</v>
      </c>
    </row>
    <row r="49">
      <c r="A49" s="6" t="inlineStr">
        <is>
          <t>Jul-26</t>
        </is>
      </c>
      <c r="B49" s="6" t="inlineStr">
        <is>
          <t>Information Technology</t>
        </is>
      </c>
      <c r="C49" s="6" t="n">
        <v>24</v>
      </c>
      <c r="D49" s="6" t="n">
        <v>0</v>
      </c>
      <c r="E49" s="6" t="n">
        <v>2</v>
      </c>
      <c r="F49" s="6" t="n">
        <v>22</v>
      </c>
    </row>
    <row r="50">
      <c r="A50" s="6" t="inlineStr">
        <is>
          <t>Jul-26</t>
        </is>
      </c>
      <c r="B50" s="6" t="inlineStr">
        <is>
          <t>Finance</t>
        </is>
      </c>
      <c r="C50" s="6" t="n">
        <v>6</v>
      </c>
      <c r="D50" s="6" t="n">
        <v>2</v>
      </c>
      <c r="E50" s="6" t="n">
        <v>1</v>
      </c>
      <c r="F50" s="6" t="n">
        <v>7</v>
      </c>
    </row>
    <row r="51">
      <c r="A51" s="6" t="inlineStr">
        <is>
          <t>Jul-26</t>
        </is>
      </c>
      <c r="B51" s="6" t="inlineStr">
        <is>
          <t>Operations</t>
        </is>
      </c>
      <c r="C51" s="6" t="n">
        <v>33</v>
      </c>
      <c r="D51" s="6" t="n">
        <v>1</v>
      </c>
      <c r="E51" s="6" t="n">
        <v>0</v>
      </c>
      <c r="F51" s="6" t="n">
        <v>34</v>
      </c>
    </row>
    <row r="52">
      <c r="A52" s="6" t="inlineStr">
        <is>
          <t>Aug-26</t>
        </is>
      </c>
      <c r="B52" s="6" t="inlineStr">
        <is>
          <t>Customer Support</t>
        </is>
      </c>
      <c r="C52" s="6" t="n">
        <v>111</v>
      </c>
      <c r="D52" s="6" t="n">
        <v>5</v>
      </c>
      <c r="E52" s="6" t="n">
        <v>6</v>
      </c>
      <c r="F52" s="6" t="n">
        <v>110</v>
      </c>
    </row>
    <row r="53">
      <c r="A53" s="6" t="inlineStr">
        <is>
          <t>Aug-26</t>
        </is>
      </c>
      <c r="B53" s="6" t="inlineStr">
        <is>
          <t>Human Resources</t>
        </is>
      </c>
      <c r="C53" s="6" t="n">
        <v>3</v>
      </c>
      <c r="D53" s="6" t="n">
        <v>1</v>
      </c>
      <c r="E53" s="6" t="n">
        <v>2</v>
      </c>
      <c r="F53" s="6" t="n">
        <v>2</v>
      </c>
    </row>
    <row r="54">
      <c r="A54" s="6" t="inlineStr">
        <is>
          <t>Aug-26</t>
        </is>
      </c>
      <c r="B54" s="6" t="inlineStr">
        <is>
          <t>Information Technology</t>
        </is>
      </c>
      <c r="C54" s="6" t="n">
        <v>22</v>
      </c>
      <c r="D54" s="6" t="n">
        <v>1</v>
      </c>
      <c r="E54" s="6" t="n">
        <v>2</v>
      </c>
      <c r="F54" s="6" t="n">
        <v>21</v>
      </c>
    </row>
    <row r="55">
      <c r="A55" s="6" t="inlineStr">
        <is>
          <t>Aug-26</t>
        </is>
      </c>
      <c r="B55" s="6" t="inlineStr">
        <is>
          <t>Finance</t>
        </is>
      </c>
      <c r="C55" s="6" t="n">
        <v>7</v>
      </c>
      <c r="D55" s="6" t="n">
        <v>1</v>
      </c>
      <c r="E55" s="6" t="n">
        <v>0</v>
      </c>
      <c r="F55" s="6" t="n">
        <v>8</v>
      </c>
    </row>
    <row r="56">
      <c r="A56" s="6" t="inlineStr">
        <is>
          <t>Aug-26</t>
        </is>
      </c>
      <c r="B56" s="6" t="inlineStr">
        <is>
          <t>Operations</t>
        </is>
      </c>
      <c r="C56" s="6" t="n">
        <v>34</v>
      </c>
      <c r="D56" s="6" t="n">
        <v>0</v>
      </c>
      <c r="E56" s="6" t="n">
        <v>1</v>
      </c>
      <c r="F56" s="6" t="n">
        <v>33</v>
      </c>
    </row>
    <row r="57">
      <c r="A57" s="6" t="inlineStr">
        <is>
          <t>Sep-26</t>
        </is>
      </c>
      <c r="B57" s="6" t="inlineStr">
        <is>
          <t>Customer Support</t>
        </is>
      </c>
      <c r="C57" s="6" t="n">
        <v>110</v>
      </c>
      <c r="D57" s="6" t="n">
        <v>4</v>
      </c>
      <c r="E57" s="6" t="n">
        <v>4</v>
      </c>
      <c r="F57" s="6" t="n">
        <v>110</v>
      </c>
    </row>
    <row r="58">
      <c r="A58" s="6" t="inlineStr">
        <is>
          <t>Sep-26</t>
        </is>
      </c>
      <c r="B58" s="6" t="inlineStr">
        <is>
          <t>Human Resources</t>
        </is>
      </c>
      <c r="C58" s="6" t="n">
        <v>2</v>
      </c>
      <c r="D58" s="6" t="n">
        <v>1</v>
      </c>
      <c r="E58" s="6" t="n">
        <v>2</v>
      </c>
      <c r="F58" s="6" t="n">
        <v>1</v>
      </c>
    </row>
    <row r="59">
      <c r="A59" s="6" t="inlineStr">
        <is>
          <t>Sep-26</t>
        </is>
      </c>
      <c r="B59" s="6" t="inlineStr">
        <is>
          <t>Information Technology</t>
        </is>
      </c>
      <c r="C59" s="6" t="n">
        <v>21</v>
      </c>
      <c r="D59" s="6" t="n">
        <v>1</v>
      </c>
      <c r="E59" s="6" t="n">
        <v>0</v>
      </c>
      <c r="F59" s="6" t="n">
        <v>22</v>
      </c>
    </row>
    <row r="60">
      <c r="A60" s="6" t="inlineStr">
        <is>
          <t>Sep-26</t>
        </is>
      </c>
      <c r="B60" s="6" t="inlineStr">
        <is>
          <t>Finance</t>
        </is>
      </c>
      <c r="C60" s="6" t="n">
        <v>8</v>
      </c>
      <c r="D60" s="6" t="n">
        <v>0</v>
      </c>
      <c r="E60" s="6" t="n">
        <v>2</v>
      </c>
      <c r="F60" s="6" t="n">
        <v>6</v>
      </c>
    </row>
    <row r="61">
      <c r="A61" s="6" t="inlineStr">
        <is>
          <t>Sep-26</t>
        </is>
      </c>
      <c r="B61" s="6" t="inlineStr">
        <is>
          <t>Operations</t>
        </is>
      </c>
      <c r="C61" s="6" t="n">
        <v>33</v>
      </c>
      <c r="D61" s="6" t="n">
        <v>2</v>
      </c>
      <c r="E61" s="6" t="n">
        <v>0</v>
      </c>
      <c r="F61" s="6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6" customWidth="1" min="4" max="4"/>
  </cols>
  <sheetData>
    <row r="1">
      <c r="A1" s="5" t="inlineStr">
        <is>
          <t>Stage</t>
        </is>
      </c>
      <c r="B1" s="5" t="inlineStr">
        <is>
          <t>Candidates</t>
        </is>
      </c>
      <c r="C1" s="5" t="inlineStr">
        <is>
          <t>% of Applied</t>
        </is>
      </c>
      <c r="D1" s="5" t="inlineStr">
        <is>
          <t>Conversion from Previous</t>
        </is>
      </c>
    </row>
    <row r="2">
      <c r="A2" s="8" t="inlineStr">
        <is>
          <t>Applied</t>
        </is>
      </c>
      <c r="B2" s="6">
        <f>COUNTA('Hiring Data'!F2:F77)</f>
        <v/>
      </c>
      <c r="C2" s="9">
        <f>IF($B$2=0,0,B2/$B$2)</f>
        <v/>
      </c>
      <c r="D2" s="6" t="inlineStr">
        <is>
          <t>—</t>
        </is>
      </c>
    </row>
    <row r="3">
      <c r="A3" s="8" t="inlineStr">
        <is>
          <t>Screened</t>
        </is>
      </c>
      <c r="B3" s="6">
        <f>SUM(COUNTIF('Hiring Data'!L2:L77,{"Screened","Interviewed","Offered","Hired"}))</f>
        <v/>
      </c>
      <c r="C3" s="9">
        <f>IF($B$2=0,0,B3/$B$2)</f>
        <v/>
      </c>
      <c r="D3" s="9">
        <f>IF(B2=0,0,B3/B2)</f>
        <v/>
      </c>
    </row>
    <row r="4">
      <c r="A4" s="8" t="inlineStr">
        <is>
          <t>Interviewed</t>
        </is>
      </c>
      <c r="B4" s="6">
        <f>SUM(COUNTIF('Hiring Data'!L2:L77,{"Interviewed","Offered","Hired"}))</f>
        <v/>
      </c>
      <c r="C4" s="9">
        <f>IF($B$2=0,0,B4/$B$2)</f>
        <v/>
      </c>
      <c r="D4" s="9">
        <f>IF(B3=0,0,B4/B3)</f>
        <v/>
      </c>
    </row>
    <row r="5">
      <c r="A5" s="8" t="inlineStr">
        <is>
          <t>Offered</t>
        </is>
      </c>
      <c r="B5" s="6">
        <f>SUM(COUNTIF('Hiring Data'!L2:L77,{"Offered","Hired"}))</f>
        <v/>
      </c>
      <c r="C5" s="9">
        <f>IF($B$2=0,0,B5/$B$2)</f>
        <v/>
      </c>
      <c r="D5" s="9">
        <f>IF(B4=0,0,B5/B4)</f>
        <v/>
      </c>
    </row>
    <row r="6">
      <c r="A6" s="8" t="inlineStr">
        <is>
          <t>Hired</t>
        </is>
      </c>
      <c r="B6" s="6">
        <f>COUNTIF('Hiring Data'!K2:K77,"Hired")</f>
        <v/>
      </c>
      <c r="C6" s="9">
        <f>IF($B$2=0,0,B6/$B$2)</f>
        <v/>
      </c>
      <c r="D6" s="9">
        <f>IF(B5=0,0,B6/B5)</f>
        <v/>
      </c>
    </row>
    <row r="8">
      <c r="A8" s="10" t="inlineStr">
        <is>
          <t>Biggest drop-off:</t>
        </is>
      </c>
    </row>
    <row r="9">
      <c r="A9">
        <f>INDEX(A3:A6,MATCH(MIN(D3:D6),D3:D6,0)) &amp; " stage (" &amp; TEXT(MIN(D3:D6),"0.0%") &amp; " conversion)"</f>
        <v/>
      </c>
    </row>
  </sheetData>
  <mergeCells count="1">
    <mergeCell ref="A9:D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</cols>
  <sheetData>
    <row r="1">
      <c r="A1" s="5" t="inlineStr">
        <is>
          <t>Department</t>
        </is>
      </c>
      <c r="B1" s="5" t="inlineStr">
        <is>
          <t>Avg Days: Applied → Offer</t>
        </is>
      </c>
      <c r="C1" s="5" t="inlineStr">
        <is>
          <t>Avg Days: Offer → Join</t>
        </is>
      </c>
      <c r="D1" s="5" t="inlineStr">
        <is>
          <t>Avg Days: Applied → Join</t>
        </is>
      </c>
      <c r="E1" s="5" t="inlineStr">
        <is>
          <t>Hires</t>
        </is>
      </c>
    </row>
    <row r="2">
      <c r="A2" s="8" t="inlineStr">
        <is>
          <t>Customer Support</t>
        </is>
      </c>
      <c r="B2" s="11">
        <f>IFERROR(AVERAGEIFS('Hiring Data'!I2:I77,'Hiring Data'!D2:D77,"Customer Support",'Hiring Data'!K2:K77,"Hired")-AVERAGEIFS('Hiring Data'!F2:F77,'Hiring Data'!D2:D77,"Customer Support",'Hiring Data'!K2:K77,"Hired"),"")</f>
        <v/>
      </c>
      <c r="C2" s="11">
        <f>IFERROR(AVERAGEIFS('Hiring Data'!J2:J77,'Hiring Data'!D2:D77,"Customer Support",'Hiring Data'!K2:K77,"Hired")-AVERAGEIFS('Hiring Data'!I2:I77,'Hiring Data'!D2:D77,"Customer Support",'Hiring Data'!K2:K77,"Hired"),"")</f>
        <v/>
      </c>
      <c r="D2" s="11">
        <f>IFERROR(B2+C2,"")</f>
        <v/>
      </c>
      <c r="E2" s="6">
        <f>COUNTIFS('Hiring Data'!D2:D77,"Customer Support",'Hiring Data'!K2:K77,"Hired")</f>
        <v/>
      </c>
    </row>
    <row r="3">
      <c r="A3" s="8" t="inlineStr">
        <is>
          <t>Human Resources</t>
        </is>
      </c>
      <c r="B3" s="11">
        <f>IFERROR(AVERAGEIFS('Hiring Data'!I2:I77,'Hiring Data'!D2:D77,"Human Resources",'Hiring Data'!K2:K77,"Hired")-AVERAGEIFS('Hiring Data'!F2:F77,'Hiring Data'!D2:D77,"Human Resources",'Hiring Data'!K2:K77,"Hired"),"")</f>
        <v/>
      </c>
      <c r="C3" s="11">
        <f>IFERROR(AVERAGEIFS('Hiring Data'!J2:J77,'Hiring Data'!D2:D77,"Human Resources",'Hiring Data'!K2:K77,"Hired")-AVERAGEIFS('Hiring Data'!I2:I77,'Hiring Data'!D2:D77,"Human Resources",'Hiring Data'!K2:K77,"Hired"),"")</f>
        <v/>
      </c>
      <c r="D3" s="11">
        <f>IFERROR(B3+C3,"")</f>
        <v/>
      </c>
      <c r="E3" s="6">
        <f>COUNTIFS('Hiring Data'!D2:D77,"Human Resources",'Hiring Data'!K2:K77,"Hired")</f>
        <v/>
      </c>
    </row>
    <row r="4">
      <c r="A4" s="8" t="inlineStr">
        <is>
          <t>Information Technology</t>
        </is>
      </c>
      <c r="B4" s="11">
        <f>IFERROR(AVERAGEIFS('Hiring Data'!I2:I77,'Hiring Data'!D2:D77,"Information Technology",'Hiring Data'!K2:K77,"Hired")-AVERAGEIFS('Hiring Data'!F2:F77,'Hiring Data'!D2:D77,"Information Technology",'Hiring Data'!K2:K77,"Hired"),"")</f>
        <v/>
      </c>
      <c r="C4" s="11">
        <f>IFERROR(AVERAGEIFS('Hiring Data'!J2:J77,'Hiring Data'!D2:D77,"Information Technology",'Hiring Data'!K2:K77,"Hired")-AVERAGEIFS('Hiring Data'!I2:I77,'Hiring Data'!D2:D77,"Information Technology",'Hiring Data'!K2:K77,"Hired"),"")</f>
        <v/>
      </c>
      <c r="D4" s="11">
        <f>IFERROR(B4+C4,"")</f>
        <v/>
      </c>
      <c r="E4" s="6">
        <f>COUNTIFS('Hiring Data'!D2:D77,"Information Technology",'Hiring Data'!K2:K77,"Hired")</f>
        <v/>
      </c>
    </row>
    <row r="5">
      <c r="A5" s="8" t="inlineStr">
        <is>
          <t>Finance</t>
        </is>
      </c>
      <c r="B5" s="11">
        <f>IFERROR(AVERAGEIFS('Hiring Data'!I2:I77,'Hiring Data'!D2:D77,"Finance",'Hiring Data'!K2:K77,"Hired")-AVERAGEIFS('Hiring Data'!F2:F77,'Hiring Data'!D2:D77,"Finance",'Hiring Data'!K2:K77,"Hired"),"")</f>
        <v/>
      </c>
      <c r="C5" s="11">
        <f>IFERROR(AVERAGEIFS('Hiring Data'!J2:J77,'Hiring Data'!D2:D77,"Finance",'Hiring Data'!K2:K77,"Hired")-AVERAGEIFS('Hiring Data'!I2:I77,'Hiring Data'!D2:D77,"Finance",'Hiring Data'!K2:K77,"Hired"),"")</f>
        <v/>
      </c>
      <c r="D5" s="11">
        <f>IFERROR(B5+C5,"")</f>
        <v/>
      </c>
      <c r="E5" s="6">
        <f>COUNTIFS('Hiring Data'!D2:D77,"Finance",'Hiring Data'!K2:K77,"Hired")</f>
        <v/>
      </c>
    </row>
    <row r="6">
      <c r="A6" s="8" t="inlineStr">
        <is>
          <t>Operations</t>
        </is>
      </c>
      <c r="B6" s="11">
        <f>IFERROR(AVERAGEIFS('Hiring Data'!I2:I77,'Hiring Data'!D2:D77,"Operations",'Hiring Data'!K2:K77,"Hired")-AVERAGEIFS('Hiring Data'!F2:F77,'Hiring Data'!D2:D77,"Operations",'Hiring Data'!K2:K77,"Hired"),"")</f>
        <v/>
      </c>
      <c r="C6" s="11">
        <f>IFERROR(AVERAGEIFS('Hiring Data'!J2:J77,'Hiring Data'!D2:D77,"Operations",'Hiring Data'!K2:K77,"Hired")-AVERAGEIFS('Hiring Data'!I2:I77,'Hiring Data'!D2:D77,"Operations",'Hiring Data'!K2:K77,"Hired"),"")</f>
        <v/>
      </c>
      <c r="D6" s="11">
        <f>IFERROR(B6+C6,"")</f>
        <v/>
      </c>
      <c r="E6" s="6">
        <f>COUNTIFS('Hiring Data'!D2:D77,"Operations",'Hiring Data'!K2:K77,"Hired")</f>
        <v/>
      </c>
    </row>
    <row r="7">
      <c r="A7" s="12" t="inlineStr">
        <is>
          <t>Company Average</t>
        </is>
      </c>
      <c r="B7" s="13">
        <f>AVERAGE(B2:B6)</f>
        <v/>
      </c>
      <c r="C7" s="13">
        <f>AVERAGE(C2:C6)</f>
        <v/>
      </c>
      <c r="D7" s="13">
        <f>AVERAGE(D2:D6)</f>
        <v/>
      </c>
      <c r="E7" s="14">
        <f>SUM(E2:E6)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  <col width="22" customWidth="1" min="5" max="5"/>
  </cols>
  <sheetData>
    <row r="1">
      <c r="A1" s="5" t="inlineStr">
        <is>
          <t>Month</t>
        </is>
      </c>
      <c r="B1" s="5" t="inlineStr">
        <is>
          <t>Avg Headcount</t>
        </is>
      </c>
      <c r="C1" s="5" t="inlineStr">
        <is>
          <t>Separations</t>
        </is>
      </c>
      <c r="D1" s="5" t="inlineStr">
        <is>
          <t>Monthly Turnover %</t>
        </is>
      </c>
      <c r="E1" s="5" t="inlineStr">
        <is>
          <t>Annualized Turnover %</t>
        </is>
      </c>
    </row>
    <row r="2">
      <c r="A2" s="6" t="inlineStr">
        <is>
          <t>Oct-25</t>
        </is>
      </c>
      <c r="B2" s="15">
        <f>(SUMIFS(Headcount!C2:C62,Headcount!A2:A62,"Oct-25")+SUMIFS(Headcount!F2:F62,Headcount!A2:A62,"Oct-25"))/2</f>
        <v/>
      </c>
      <c r="C2" s="6">
        <f>SUMIFS(Headcount!E2:E62,Headcount!A2:A62,"Oct-25")</f>
        <v/>
      </c>
      <c r="D2" s="9">
        <f>IF(B2=0,0,C2/B2)</f>
        <v/>
      </c>
      <c r="E2" s="9">
        <f>D2*12</f>
        <v/>
      </c>
    </row>
    <row r="3">
      <c r="A3" s="6" t="inlineStr">
        <is>
          <t>Nov-25</t>
        </is>
      </c>
      <c r="B3" s="15">
        <f>(SUMIFS(Headcount!C2:C62,Headcount!A2:A62,"Nov-25")+SUMIFS(Headcount!F2:F62,Headcount!A2:A62,"Nov-25"))/2</f>
        <v/>
      </c>
      <c r="C3" s="6">
        <f>SUMIFS(Headcount!E2:E62,Headcount!A2:A62,"Nov-25")</f>
        <v/>
      </c>
      <c r="D3" s="9">
        <f>IF(B3=0,0,C3/B3)</f>
        <v/>
      </c>
      <c r="E3" s="9">
        <f>D3*12</f>
        <v/>
      </c>
    </row>
    <row r="4">
      <c r="A4" s="6" t="inlineStr">
        <is>
          <t>Dec-25</t>
        </is>
      </c>
      <c r="B4" s="15">
        <f>(SUMIFS(Headcount!C2:C62,Headcount!A2:A62,"Dec-25")+SUMIFS(Headcount!F2:F62,Headcount!A2:A62,"Dec-25"))/2</f>
        <v/>
      </c>
      <c r="C4" s="6">
        <f>SUMIFS(Headcount!E2:E62,Headcount!A2:A62,"Dec-25")</f>
        <v/>
      </c>
      <c r="D4" s="9">
        <f>IF(B4=0,0,C4/B4)</f>
        <v/>
      </c>
      <c r="E4" s="9">
        <f>D4*12</f>
        <v/>
      </c>
    </row>
    <row r="5">
      <c r="A5" s="6" t="inlineStr">
        <is>
          <t>Jan-26</t>
        </is>
      </c>
      <c r="B5" s="15">
        <f>(SUMIFS(Headcount!C2:C62,Headcount!A2:A62,"Jan-26")+SUMIFS(Headcount!F2:F62,Headcount!A2:A62,"Jan-26"))/2</f>
        <v/>
      </c>
      <c r="C5" s="6">
        <f>SUMIFS(Headcount!E2:E62,Headcount!A2:A62,"Jan-26")</f>
        <v/>
      </c>
      <c r="D5" s="9">
        <f>IF(B5=0,0,C5/B5)</f>
        <v/>
      </c>
      <c r="E5" s="9">
        <f>D5*12</f>
        <v/>
      </c>
    </row>
    <row r="6">
      <c r="A6" s="6" t="inlineStr">
        <is>
          <t>Feb-26</t>
        </is>
      </c>
      <c r="B6" s="15">
        <f>(SUMIFS(Headcount!C2:C62,Headcount!A2:A62,"Feb-26")+SUMIFS(Headcount!F2:F62,Headcount!A2:A62,"Feb-26"))/2</f>
        <v/>
      </c>
      <c r="C6" s="6">
        <f>SUMIFS(Headcount!E2:E62,Headcount!A2:A62,"Feb-26")</f>
        <v/>
      </c>
      <c r="D6" s="9">
        <f>IF(B6=0,0,C6/B6)</f>
        <v/>
      </c>
      <c r="E6" s="9">
        <f>D6*12</f>
        <v/>
      </c>
    </row>
    <row r="7">
      <c r="A7" s="6" t="inlineStr">
        <is>
          <t>Mar-26</t>
        </is>
      </c>
      <c r="B7" s="15">
        <f>(SUMIFS(Headcount!C2:C62,Headcount!A2:A62,"Mar-26")+SUMIFS(Headcount!F2:F62,Headcount!A2:A62,"Mar-26"))/2</f>
        <v/>
      </c>
      <c r="C7" s="6">
        <f>SUMIFS(Headcount!E2:E62,Headcount!A2:A62,"Mar-26")</f>
        <v/>
      </c>
      <c r="D7" s="9">
        <f>IF(B7=0,0,C7/B7)</f>
        <v/>
      </c>
      <c r="E7" s="9">
        <f>D7*12</f>
        <v/>
      </c>
    </row>
    <row r="8">
      <c r="A8" s="6" t="inlineStr">
        <is>
          <t>Apr-26</t>
        </is>
      </c>
      <c r="B8" s="15">
        <f>(SUMIFS(Headcount!C2:C62,Headcount!A2:A62,"Apr-26")+SUMIFS(Headcount!F2:F62,Headcount!A2:A62,"Apr-26"))/2</f>
        <v/>
      </c>
      <c r="C8" s="6">
        <f>SUMIFS(Headcount!E2:E62,Headcount!A2:A62,"Apr-26")</f>
        <v/>
      </c>
      <c r="D8" s="9">
        <f>IF(B8=0,0,C8/B8)</f>
        <v/>
      </c>
      <c r="E8" s="9">
        <f>D8*12</f>
        <v/>
      </c>
    </row>
    <row r="9">
      <c r="A9" s="6" t="inlineStr">
        <is>
          <t>May-26</t>
        </is>
      </c>
      <c r="B9" s="15">
        <f>(SUMIFS(Headcount!C2:C62,Headcount!A2:A62,"May-26")+SUMIFS(Headcount!F2:F62,Headcount!A2:A62,"May-26"))/2</f>
        <v/>
      </c>
      <c r="C9" s="6">
        <f>SUMIFS(Headcount!E2:E62,Headcount!A2:A62,"May-26")</f>
        <v/>
      </c>
      <c r="D9" s="9">
        <f>IF(B9=0,0,C9/B9)</f>
        <v/>
      </c>
      <c r="E9" s="9">
        <f>D9*12</f>
        <v/>
      </c>
    </row>
    <row r="10">
      <c r="A10" s="6" t="inlineStr">
        <is>
          <t>Jun-26</t>
        </is>
      </c>
      <c r="B10" s="15">
        <f>(SUMIFS(Headcount!C2:C62,Headcount!A2:A62,"Jun-26")+SUMIFS(Headcount!F2:F62,Headcount!A2:A62,"Jun-26"))/2</f>
        <v/>
      </c>
      <c r="C10" s="6">
        <f>SUMIFS(Headcount!E2:E62,Headcount!A2:A62,"Jun-26")</f>
        <v/>
      </c>
      <c r="D10" s="9">
        <f>IF(B10=0,0,C10/B10)</f>
        <v/>
      </c>
      <c r="E10" s="9">
        <f>D10*12</f>
        <v/>
      </c>
    </row>
    <row r="11">
      <c r="A11" s="6" t="inlineStr">
        <is>
          <t>Jul-26</t>
        </is>
      </c>
      <c r="B11" s="15">
        <f>(SUMIFS(Headcount!C2:C62,Headcount!A2:A62,"Jul-26")+SUMIFS(Headcount!F2:F62,Headcount!A2:A62,"Jul-26"))/2</f>
        <v/>
      </c>
      <c r="C11" s="6">
        <f>SUMIFS(Headcount!E2:E62,Headcount!A2:A62,"Jul-26")</f>
        <v/>
      </c>
      <c r="D11" s="9">
        <f>IF(B11=0,0,C11/B11)</f>
        <v/>
      </c>
      <c r="E11" s="9">
        <f>D11*12</f>
        <v/>
      </c>
    </row>
    <row r="12">
      <c r="A12" s="6" t="inlineStr">
        <is>
          <t>Aug-26</t>
        </is>
      </c>
      <c r="B12" s="15">
        <f>(SUMIFS(Headcount!C2:C62,Headcount!A2:A62,"Aug-26")+SUMIFS(Headcount!F2:F62,Headcount!A2:A62,"Aug-26"))/2</f>
        <v/>
      </c>
      <c r="C12" s="6">
        <f>SUMIFS(Headcount!E2:E62,Headcount!A2:A62,"Aug-26")</f>
        <v/>
      </c>
      <c r="D12" s="9">
        <f>IF(B12=0,0,C12/B12)</f>
        <v/>
      </c>
      <c r="E12" s="9">
        <f>D12*12</f>
        <v/>
      </c>
    </row>
    <row r="13">
      <c r="A13" s="6" t="inlineStr">
        <is>
          <t>Sep-26</t>
        </is>
      </c>
      <c r="B13" s="15">
        <f>(SUMIFS(Headcount!C2:C62,Headcount!A2:A62,"Sep-26")+SUMIFS(Headcount!F2:F62,Headcount!A2:A62,"Sep-26"))/2</f>
        <v/>
      </c>
      <c r="C13" s="6">
        <f>SUMIFS(Headcount!E2:E62,Headcount!A2:A62,"Sep-26")</f>
        <v/>
      </c>
      <c r="D13" s="9">
        <f>IF(B13=0,0,C13/B13)</f>
        <v/>
      </c>
      <c r="E13" s="9">
        <f>D13*12</f>
        <v/>
      </c>
    </row>
    <row r="14">
      <c r="A14" s="12" t="inlineStr">
        <is>
          <t>12-Month Average</t>
        </is>
      </c>
      <c r="D14" s="16">
        <f>AVERAGE(D2:D13)</f>
        <v/>
      </c>
      <c r="E14" s="16">
        <f>AVERAGE(E2:E13)</f>
        <v/>
      </c>
    </row>
    <row r="16">
      <c r="A16" s="10" t="inlineStr">
        <is>
          <t>Annualized Turnover by Department</t>
        </is>
      </c>
    </row>
    <row r="17">
      <c r="A17" s="5" t="inlineStr">
        <is>
          <t>Department</t>
        </is>
      </c>
      <c r="B17" s="5" t="inlineStr">
        <is>
          <t>Avg Headcount</t>
        </is>
      </c>
      <c r="C17" s="5" t="inlineStr">
        <is>
          <t>Separations (12m)</t>
        </is>
      </c>
      <c r="D17" s="5" t="inlineStr">
        <is>
          <t>Annual Turnover %</t>
        </is>
      </c>
    </row>
    <row r="18">
      <c r="A18" s="8" t="inlineStr">
        <is>
          <t>Customer Support</t>
        </is>
      </c>
      <c r="B18" s="15">
        <f>(SUMIFS(Headcount!C2:C62,Headcount!B2:B62,"Customer Support")+SUMIFS(Headcount!F2:F62,Headcount!B2:B62,"Customer Support"))/2</f>
        <v/>
      </c>
      <c r="C18" s="6">
        <f>SUMIFS(Headcount!E2:E62,Headcount!B2:B62,"Customer Support")</f>
        <v/>
      </c>
      <c r="D18" s="9">
        <f>IF(B18=0,0,C18/B18)</f>
        <v/>
      </c>
    </row>
    <row r="19">
      <c r="A19" s="8" t="inlineStr">
        <is>
          <t>Human Resources</t>
        </is>
      </c>
      <c r="B19" s="15">
        <f>(SUMIFS(Headcount!C2:C62,Headcount!B2:B62,"Human Resources")+SUMIFS(Headcount!F2:F62,Headcount!B2:B62,"Human Resources"))/2</f>
        <v/>
      </c>
      <c r="C19" s="6">
        <f>SUMIFS(Headcount!E2:E62,Headcount!B2:B62,"Human Resources")</f>
        <v/>
      </c>
      <c r="D19" s="9">
        <f>IF(B19=0,0,C19/B19)</f>
        <v/>
      </c>
    </row>
    <row r="20">
      <c r="A20" s="8" t="inlineStr">
        <is>
          <t>Information Technology</t>
        </is>
      </c>
      <c r="B20" s="15">
        <f>(SUMIFS(Headcount!C2:C62,Headcount!B2:B62,"Information Technology")+SUMIFS(Headcount!F2:F62,Headcount!B2:B62,"Information Technology"))/2</f>
        <v/>
      </c>
      <c r="C20" s="6">
        <f>SUMIFS(Headcount!E2:E62,Headcount!B2:B62,"Information Technology")</f>
        <v/>
      </c>
      <c r="D20" s="9">
        <f>IF(B20=0,0,C20/B20)</f>
        <v/>
      </c>
    </row>
    <row r="21">
      <c r="A21" s="8" t="inlineStr">
        <is>
          <t>Finance</t>
        </is>
      </c>
      <c r="B21" s="15">
        <f>(SUMIFS(Headcount!C2:C62,Headcount!B2:B62,"Finance")+SUMIFS(Headcount!F2:F62,Headcount!B2:B62,"Finance"))/2</f>
        <v/>
      </c>
      <c r="C21" s="6">
        <f>SUMIFS(Headcount!E2:E62,Headcount!B2:B62,"Finance")</f>
        <v/>
      </c>
      <c r="D21" s="9">
        <f>IF(B21=0,0,C21/B21)</f>
        <v/>
      </c>
    </row>
    <row r="22">
      <c r="A22" s="8" t="inlineStr">
        <is>
          <t>Operations</t>
        </is>
      </c>
      <c r="B22" s="15">
        <f>(SUMIFS(Headcount!C2:C62,Headcount!B2:B62,"Operations")+SUMIFS(Headcount!F2:F62,Headcount!B2:B62,"Operations"))/2</f>
        <v/>
      </c>
      <c r="C22" s="6">
        <f>SUMIFS(Headcount!E2:E62,Headcount!B2:B62,"Operations")</f>
        <v/>
      </c>
      <c r="D22" s="9">
        <f>IF(B22=0,0,C22/B22)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7" t="inlineStr">
        <is>
          <t>HR Analytics Dashboard</t>
        </is>
      </c>
    </row>
    <row r="2">
      <c r="A2" s="18" t="inlineStr">
        <is>
          <t>Oct 2025 – Sep 2026  •  Sample data — replace with your own on Hiring Data / Headcount</t>
        </is>
      </c>
    </row>
    <row r="4">
      <c r="A4" s="19" t="inlineStr">
        <is>
          <t>Total Hires (12m)</t>
        </is>
      </c>
    </row>
    <row r="5">
      <c r="A5" s="20">
        <f>COUNTIF('Hiring Data'!K2:K77,"Hired")</f>
        <v/>
      </c>
    </row>
    <row r="6">
      <c r="A6" s="19" t="inlineStr">
        <is>
          <t>Avg Time to Hire (days)</t>
        </is>
      </c>
    </row>
    <row r="7">
      <c r="A7" s="21">
        <f>'Time to Hire'!D7</f>
        <v/>
      </c>
    </row>
    <row r="8">
      <c r="A8" s="19" t="inlineStr">
        <is>
          <t>Avg Monthly Turnover</t>
        </is>
      </c>
    </row>
    <row r="9">
      <c r="A9" s="22">
        <f>AVERAGE(Turnover!D2:D13)</f>
        <v/>
      </c>
    </row>
    <row r="10">
      <c r="A10" s="19" t="inlineStr">
        <is>
          <t>Offer Acceptance Rate</t>
        </is>
      </c>
    </row>
    <row r="11">
      <c r="A11" s="22">
        <f>IFERROR(COUNTIF('Hiring Data'!K2:K77,"Hired")/COUNTIF('Hiring Data'!L2:L77,"Offered")+COUNTIF('Hiring Data'!L2:L77,"Hired"),0)</f>
        <v/>
      </c>
    </row>
  </sheetData>
  <mergeCells count="8">
    <mergeCell ref="A4:B4"/>
    <mergeCell ref="A7:B7"/>
    <mergeCell ref="A11:B11"/>
    <mergeCell ref="A10:B10"/>
    <mergeCell ref="A5:B5"/>
    <mergeCell ref="A9:B9"/>
    <mergeCell ref="A8:B8"/>
    <mergeCell ref="A6:B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2026-10-16T07:25:21+00:00Z</dcterms:created>
  <dcterms:modified xmlns:dcterms="http://purl.org/dc/terms/" xmlns:xsi="http://www.w3.org/2001/XMLSchema-instance" xsi:type="dcterms:W3CDTF">2026-10-16T07:25:21+00:00Z</dcterms:modified>
</cp:coreProperties>
</file>